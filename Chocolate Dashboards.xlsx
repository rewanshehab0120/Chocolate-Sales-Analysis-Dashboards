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4.xml" ContentType="application/vnd.openxmlformats-officedocument.drawingml.chartshapes+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5.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Courses\Data Analysis\NTI\"/>
    </mc:Choice>
  </mc:AlternateContent>
  <xr:revisionPtr revIDLastSave="0" documentId="13_ncr:1_{ED60A450-ACFF-4974-AEDA-084226E9C4DF}" xr6:coauthVersionLast="47" xr6:coauthVersionMax="47" xr10:uidLastSave="{00000000-0000-0000-0000-000000000000}"/>
  <bookViews>
    <workbookView xWindow="-120" yWindow="-120" windowWidth="20730" windowHeight="11760" tabRatio="693" activeTab="4" xr2:uid="{00000000-000D-0000-FFFF-FFFF00000000}"/>
  </bookViews>
  <sheets>
    <sheet name="Raw-data " sheetId="2" r:id="rId1"/>
    <sheet name="Meta-data " sheetId="3" r:id="rId2"/>
    <sheet name="Solve Questions" sheetId="5" r:id="rId3"/>
    <sheet name="cleaning" sheetId="6" r:id="rId4"/>
    <sheet name="Pivot Tables" sheetId="7" r:id="rId5"/>
    <sheet name="DashBoard" sheetId="8" r:id="rId6"/>
    <sheet name="Final Dashboard" sheetId="12" r:id="rId7"/>
  </sheets>
  <externalReferences>
    <externalReference r:id="rId8"/>
  </externalReferences>
  <definedNames>
    <definedName name="_xlnm._FilterDatabase" localSheetId="3" hidden="1">cleaning!$F$4:$K$319</definedName>
    <definedName name="_xlnm._FilterDatabase" localSheetId="0" hidden="1">'Raw-data '!$F$4:$K$319</definedName>
    <definedName name="_xlcn.WorksheetConnection_excel_task2.xlsxTable11" hidden="1">Table1[]</definedName>
    <definedName name="Slicer_Product">#N/A</definedName>
  </definedNames>
  <calcPr calcId="191029"/>
  <pivotCaches>
    <pivotCache cacheId="55" r:id="rId9"/>
    <pivotCache cacheId="145" r:id="rId10"/>
    <pivotCache cacheId="146" r:id="rId11"/>
    <pivotCache cacheId="147" r:id="rId12"/>
    <pivotCache cacheId="148" r:id="rId13"/>
    <pivotCache cacheId="149" r:id="rId14"/>
    <pivotCache cacheId="150" r:id="rId15"/>
    <pivotCache cacheId="151" r:id="rId16"/>
    <pivotCache cacheId="152" r:id="rId17"/>
    <pivotCache cacheId="153" r:id="rId18"/>
  </pivotCaches>
  <extLst>
    <ext xmlns:x14="http://schemas.microsoft.com/office/spreadsheetml/2009/9/main" uri="{876F7934-8845-4945-9796-88D515C7AA90}">
      <x14:pivotCaches>
        <pivotCache cacheId="123"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l Dashboard_e3e1d50c-c3e4-4e01-992e-47ba7287450c" name="Final Dashboard" connection="Query - Final Dashboard"/>
          <x15:modelTable id="Table1" name="Table1" connection="WorksheetConnection_excel _task(2).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6" l="1"/>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X14" i="6" l="1"/>
  <c r="S15" i="6"/>
  <c r="P7" i="6"/>
  <c r="P11" i="6"/>
  <c r="P15" i="6"/>
  <c r="Q19" i="6"/>
  <c r="Q20" i="6"/>
  <c r="P23" i="6"/>
  <c r="Q27" i="6"/>
  <c r="P31" i="6"/>
  <c r="P35" i="6"/>
  <c r="P39" i="6"/>
  <c r="Q43" i="6"/>
  <c r="P47" i="6"/>
  <c r="Q51" i="6"/>
  <c r="P55" i="6"/>
  <c r="P56" i="6"/>
  <c r="Q59" i="6"/>
  <c r="P63" i="6"/>
  <c r="Q67" i="6"/>
  <c r="P8" i="6"/>
  <c r="P12" i="6"/>
  <c r="Q16" i="6"/>
  <c r="Q32" i="6"/>
  <c r="P40" i="6"/>
  <c r="P48" i="6"/>
  <c r="P71" i="6"/>
  <c r="P72" i="6"/>
  <c r="Q75" i="6"/>
  <c r="P76" i="6"/>
  <c r="P79" i="6"/>
  <c r="P80" i="6"/>
  <c r="Q83" i="6"/>
  <c r="Q84" i="6"/>
  <c r="P87" i="6"/>
  <c r="P91" i="6"/>
  <c r="P95" i="6"/>
  <c r="Q96" i="6"/>
  <c r="Q99" i="6"/>
  <c r="Q100" i="6"/>
  <c r="P103" i="6"/>
  <c r="P104" i="6"/>
  <c r="Q107" i="6"/>
  <c r="P108" i="6"/>
  <c r="P111" i="6"/>
  <c r="P112" i="6"/>
  <c r="Q115" i="6"/>
  <c r="Q116" i="6"/>
  <c r="P119" i="6"/>
  <c r="Q120" i="6"/>
  <c r="Q123" i="6"/>
  <c r="Q124" i="6"/>
  <c r="P127" i="6"/>
  <c r="Q131" i="6"/>
  <c r="P135" i="6"/>
  <c r="Q136" i="6"/>
  <c r="P139" i="6"/>
  <c r="P140" i="6"/>
  <c r="P143" i="6"/>
  <c r="P144" i="6"/>
  <c r="Q147" i="6"/>
  <c r="Q148" i="6"/>
  <c r="P151" i="6"/>
  <c r="Q152" i="6"/>
  <c r="P159" i="6"/>
  <c r="P160" i="6"/>
  <c r="Q163" i="6"/>
  <c r="Q164" i="6"/>
  <c r="P167" i="6"/>
  <c r="Q168" i="6"/>
  <c r="Q171" i="6"/>
  <c r="P172" i="6"/>
  <c r="P176" i="6"/>
  <c r="Q179" i="6"/>
  <c r="P183" i="6"/>
  <c r="Q184" i="6"/>
  <c r="Q187" i="6"/>
  <c r="P191" i="6"/>
  <c r="P192" i="6"/>
  <c r="Q195" i="6"/>
  <c r="Q196" i="6"/>
  <c r="P199" i="6"/>
  <c r="Q200" i="6"/>
  <c r="Q203" i="6"/>
  <c r="P204" i="6"/>
  <c r="P207" i="6"/>
  <c r="P208" i="6"/>
  <c r="Q211" i="6"/>
  <c r="Q212" i="6"/>
  <c r="P215" i="6"/>
  <c r="Q216" i="6"/>
  <c r="P219" i="6"/>
  <c r="Q220" i="6"/>
  <c r="P223" i="6"/>
  <c r="Q227" i="6"/>
  <c r="Q228" i="6"/>
  <c r="P231" i="6"/>
  <c r="Q235" i="6"/>
  <c r="P236" i="6"/>
  <c r="P239" i="6"/>
  <c r="P240" i="6"/>
  <c r="P243" i="6"/>
  <c r="Q244" i="6"/>
  <c r="P247" i="6"/>
  <c r="Q251" i="6"/>
  <c r="Q252" i="6"/>
  <c r="P255" i="6"/>
  <c r="P256" i="6"/>
  <c r="P259" i="6"/>
  <c r="Q260" i="6"/>
  <c r="P263" i="6"/>
  <c r="P264" i="6"/>
  <c r="Q267" i="6"/>
  <c r="Q268" i="6"/>
  <c r="P271" i="6"/>
  <c r="P272" i="6"/>
  <c r="Q275" i="6"/>
  <c r="Q276" i="6"/>
  <c r="P279" i="6"/>
  <c r="Q280" i="6"/>
  <c r="Q283" i="6"/>
  <c r="P284" i="6"/>
  <c r="P287" i="6"/>
  <c r="P288" i="6"/>
  <c r="Q291" i="6"/>
  <c r="Q292" i="6"/>
  <c r="P295" i="6"/>
  <c r="Q296" i="6"/>
  <c r="P299" i="6"/>
  <c r="Q300" i="6"/>
  <c r="P303" i="6"/>
  <c r="P304" i="6"/>
  <c r="P307" i="6"/>
  <c r="Q308" i="6"/>
  <c r="P311" i="6"/>
  <c r="Q312" i="6"/>
  <c r="Q315" i="6"/>
  <c r="P316" i="6"/>
  <c r="P319" i="6"/>
  <c r="P5" i="6"/>
  <c r="P28" i="6"/>
  <c r="Q36" i="6"/>
  <c r="P60" i="6"/>
  <c r="Q68" i="6"/>
  <c r="P92" i="6"/>
  <c r="Q132" i="6"/>
  <c r="P156" i="6"/>
  <c r="P188" i="6"/>
  <c r="Q232" i="6"/>
  <c r="P300" i="6"/>
  <c r="Q5" i="6"/>
  <c r="P24" i="6"/>
  <c r="Q64" i="6"/>
  <c r="P88" i="6"/>
  <c r="P128" i="6"/>
  <c r="P224" i="6"/>
  <c r="Q248" i="6"/>
  <c r="Q91" i="6"/>
  <c r="Q155" i="6"/>
  <c r="Q219" i="6"/>
  <c r="P44" i="6"/>
  <c r="Q52" i="6"/>
  <c r="P75" i="6"/>
  <c r="P107" i="6"/>
  <c r="P123" i="6"/>
  <c r="P155" i="6"/>
  <c r="P175" i="6"/>
  <c r="Q180" i="6"/>
  <c r="P203" i="6"/>
  <c r="P251" i="6"/>
  <c r="P283"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P19" i="6" l="1"/>
  <c r="Q236" i="6"/>
  <c r="P124" i="6"/>
  <c r="P235" i="6"/>
  <c r="Q172" i="6"/>
  <c r="Q108" i="6"/>
  <c r="P51" i="6"/>
  <c r="Q299" i="6"/>
  <c r="Q11" i="6"/>
  <c r="P275" i="6"/>
  <c r="P227" i="6"/>
  <c r="P195" i="6"/>
  <c r="P147" i="6"/>
  <c r="P99" i="6"/>
  <c r="P67" i="6"/>
  <c r="Q139" i="6"/>
  <c r="P268" i="6"/>
  <c r="P315" i="6"/>
  <c r="P267" i="6"/>
  <c r="P187" i="6"/>
  <c r="P171" i="6"/>
  <c r="P59" i="6"/>
  <c r="Q259" i="6"/>
  <c r="Q307" i="6"/>
  <c r="P291" i="6"/>
  <c r="P211" i="6"/>
  <c r="P163" i="6"/>
  <c r="P131" i="6"/>
  <c r="P83" i="6"/>
  <c r="P27" i="6"/>
  <c r="Q35" i="6"/>
  <c r="P179" i="6"/>
  <c r="Q243" i="6"/>
  <c r="P115" i="6"/>
  <c r="P43" i="6"/>
  <c r="Q204" i="6"/>
  <c r="Q140" i="6"/>
  <c r="P220" i="6"/>
  <c r="P252" i="6"/>
  <c r="Q316" i="6"/>
  <c r="Q284" i="6"/>
  <c r="Q188" i="6"/>
  <c r="Q156" i="6"/>
  <c r="P16" i="6"/>
  <c r="Q80" i="6"/>
  <c r="Q48" i="6"/>
  <c r="P185" i="6"/>
  <c r="Q185" i="6"/>
  <c r="P177" i="6"/>
  <c r="Q177" i="6"/>
  <c r="P169" i="6"/>
  <c r="Q169" i="6"/>
  <c r="P161" i="6"/>
  <c r="Q161" i="6"/>
  <c r="P153" i="6"/>
  <c r="Q153" i="6"/>
  <c r="P145" i="6"/>
  <c r="Q145" i="6"/>
  <c r="P141" i="6"/>
  <c r="Q141" i="6"/>
  <c r="P133" i="6"/>
  <c r="Q133" i="6"/>
  <c r="P125" i="6"/>
  <c r="Q125" i="6"/>
  <c r="P117" i="6"/>
  <c r="Q117" i="6"/>
  <c r="P109" i="6"/>
  <c r="Q109" i="6"/>
  <c r="P101" i="6"/>
  <c r="Q101" i="6"/>
  <c r="P93" i="6"/>
  <c r="Q93" i="6"/>
  <c r="P85" i="6"/>
  <c r="Q85" i="6"/>
  <c r="P77" i="6"/>
  <c r="Q77" i="6"/>
  <c r="P69" i="6"/>
  <c r="Q69" i="6"/>
  <c r="P61" i="6"/>
  <c r="Q61" i="6"/>
  <c r="P53" i="6"/>
  <c r="Q53" i="6"/>
  <c r="P45" i="6"/>
  <c r="Q45" i="6"/>
  <c r="P37" i="6"/>
  <c r="Q37" i="6"/>
  <c r="P29" i="6"/>
  <c r="Q29" i="6"/>
  <c r="P21" i="6"/>
  <c r="Q21" i="6"/>
  <c r="P13" i="6"/>
  <c r="Q13" i="6"/>
  <c r="P9" i="6"/>
  <c r="Q9" i="6"/>
  <c r="P312" i="6"/>
  <c r="P280" i="6"/>
  <c r="P248" i="6"/>
  <c r="P216" i="6"/>
  <c r="P184" i="6"/>
  <c r="P152" i="6"/>
  <c r="P120" i="6"/>
  <c r="P68" i="6"/>
  <c r="Q304" i="6"/>
  <c r="Q288" i="6"/>
  <c r="Q272" i="6"/>
  <c r="Q264" i="6"/>
  <c r="Q240" i="6"/>
  <c r="Q224" i="6"/>
  <c r="Q208" i="6"/>
  <c r="Q192" i="6"/>
  <c r="Q176" i="6"/>
  <c r="Q160" i="6"/>
  <c r="Q144" i="6"/>
  <c r="Q104" i="6"/>
  <c r="Q88" i="6"/>
  <c r="Q72" i="6"/>
  <c r="P308" i="6"/>
  <c r="P292" i="6"/>
  <c r="P276" i="6"/>
  <c r="P260" i="6"/>
  <c r="P244" i="6"/>
  <c r="P228" i="6"/>
  <c r="P212" i="6"/>
  <c r="P196" i="6"/>
  <c r="P180" i="6"/>
  <c r="P164" i="6"/>
  <c r="P148" i="6"/>
  <c r="P132" i="6"/>
  <c r="P116" i="6"/>
  <c r="P96" i="6"/>
  <c r="P64" i="6"/>
  <c r="P32" i="6"/>
  <c r="Q319" i="6"/>
  <c r="Q311" i="6"/>
  <c r="Q303" i="6"/>
  <c r="Q295" i="6"/>
  <c r="Q287" i="6"/>
  <c r="Q279" i="6"/>
  <c r="Q271" i="6"/>
  <c r="Q263" i="6"/>
  <c r="Q255" i="6"/>
  <c r="Q247" i="6"/>
  <c r="Q239" i="6"/>
  <c r="Q231" i="6"/>
  <c r="Q223" i="6"/>
  <c r="Q215" i="6"/>
  <c r="Q207" i="6"/>
  <c r="Q199" i="6"/>
  <c r="Q191" i="6"/>
  <c r="Q183" i="6"/>
  <c r="Q175" i="6"/>
  <c r="Q167" i="6"/>
  <c r="Q159" i="6"/>
  <c r="Q151" i="6"/>
  <c r="Q143" i="6"/>
  <c r="Q135" i="6"/>
  <c r="Q127" i="6"/>
  <c r="Q119" i="6"/>
  <c r="Q111" i="6"/>
  <c r="Q103" i="6"/>
  <c r="Q95" i="6"/>
  <c r="Q87" i="6"/>
  <c r="Q79" i="6"/>
  <c r="Q71" i="6"/>
  <c r="Q63" i="6"/>
  <c r="Q55" i="6"/>
  <c r="Q47" i="6"/>
  <c r="Q39" i="6"/>
  <c r="Q31" i="6"/>
  <c r="Q23" i="6"/>
  <c r="Q15" i="6"/>
  <c r="Q7" i="6"/>
  <c r="P317" i="6"/>
  <c r="Q317" i="6"/>
  <c r="P313" i="6"/>
  <c r="Q313" i="6"/>
  <c r="P309" i="6"/>
  <c r="Q309" i="6"/>
  <c r="P305" i="6"/>
  <c r="Q305" i="6"/>
  <c r="P301" i="6"/>
  <c r="Q301" i="6"/>
  <c r="P297" i="6"/>
  <c r="Q297" i="6"/>
  <c r="P293" i="6"/>
  <c r="Q293" i="6"/>
  <c r="P289" i="6"/>
  <c r="Q289" i="6"/>
  <c r="P285" i="6"/>
  <c r="Q285" i="6"/>
  <c r="P281" i="6"/>
  <c r="Q281" i="6"/>
  <c r="P277" i="6"/>
  <c r="Q277" i="6"/>
  <c r="P273" i="6"/>
  <c r="Q273" i="6"/>
  <c r="P269" i="6"/>
  <c r="Q269" i="6"/>
  <c r="P265" i="6"/>
  <c r="Q265" i="6"/>
  <c r="P261" i="6"/>
  <c r="Q261" i="6"/>
  <c r="P257" i="6"/>
  <c r="Q257" i="6"/>
  <c r="P253" i="6"/>
  <c r="Q253" i="6"/>
  <c r="P249" i="6"/>
  <c r="Q249" i="6"/>
  <c r="P245" i="6"/>
  <c r="Q245" i="6"/>
  <c r="P241" i="6"/>
  <c r="Q241" i="6"/>
  <c r="P237" i="6"/>
  <c r="Q237" i="6"/>
  <c r="P233" i="6"/>
  <c r="Q233" i="6"/>
  <c r="P229" i="6"/>
  <c r="Q229" i="6"/>
  <c r="P225" i="6"/>
  <c r="Q225" i="6"/>
  <c r="P221" i="6"/>
  <c r="Q221" i="6"/>
  <c r="P217" i="6"/>
  <c r="Q217" i="6"/>
  <c r="P213" i="6"/>
  <c r="Q213" i="6"/>
  <c r="P209" i="6"/>
  <c r="Q209" i="6"/>
  <c r="P205" i="6"/>
  <c r="Q205" i="6"/>
  <c r="P201" i="6"/>
  <c r="Q201" i="6"/>
  <c r="P197" i="6"/>
  <c r="Q197" i="6"/>
  <c r="P193" i="6"/>
  <c r="Q193" i="6"/>
  <c r="P189" i="6"/>
  <c r="Q189" i="6"/>
  <c r="P181" i="6"/>
  <c r="Q181" i="6"/>
  <c r="P173" i="6"/>
  <c r="Q173" i="6"/>
  <c r="P165" i="6"/>
  <c r="Q165" i="6"/>
  <c r="P157" i="6"/>
  <c r="Q157" i="6"/>
  <c r="P149" i="6"/>
  <c r="Q149" i="6"/>
  <c r="P137" i="6"/>
  <c r="Q137" i="6"/>
  <c r="P129" i="6"/>
  <c r="Q129" i="6"/>
  <c r="P121" i="6"/>
  <c r="Q121" i="6"/>
  <c r="P113" i="6"/>
  <c r="Q113" i="6"/>
  <c r="P105" i="6"/>
  <c r="Q105" i="6"/>
  <c r="P97" i="6"/>
  <c r="Q97" i="6"/>
  <c r="P89" i="6"/>
  <c r="Q89" i="6"/>
  <c r="P81" i="6"/>
  <c r="Q81" i="6"/>
  <c r="P73" i="6"/>
  <c r="Q73" i="6"/>
  <c r="P65" i="6"/>
  <c r="Q65" i="6"/>
  <c r="P57" i="6"/>
  <c r="Q57" i="6"/>
  <c r="P49" i="6"/>
  <c r="Q49" i="6"/>
  <c r="P41" i="6"/>
  <c r="Q41" i="6"/>
  <c r="P33" i="6"/>
  <c r="Q33" i="6"/>
  <c r="P25" i="6"/>
  <c r="Q25" i="6"/>
  <c r="P17" i="6"/>
  <c r="Q17" i="6"/>
  <c r="P296" i="6"/>
  <c r="P232" i="6"/>
  <c r="P200" i="6"/>
  <c r="P168" i="6"/>
  <c r="P136" i="6"/>
  <c r="P100" i="6"/>
  <c r="P36" i="6"/>
  <c r="Q256" i="6"/>
  <c r="Q128" i="6"/>
  <c r="Q112" i="6"/>
  <c r="Q56" i="6"/>
  <c r="Q40" i="6"/>
  <c r="Q24" i="6"/>
  <c r="Q8" i="6"/>
  <c r="P318" i="6"/>
  <c r="Q318" i="6"/>
  <c r="P314" i="6"/>
  <c r="Q314" i="6"/>
  <c r="P310" i="6"/>
  <c r="Q310" i="6"/>
  <c r="P306" i="6"/>
  <c r="Q306" i="6"/>
  <c r="P302" i="6"/>
  <c r="Q302" i="6"/>
  <c r="P298" i="6"/>
  <c r="Q298" i="6"/>
  <c r="P294" i="6"/>
  <c r="Q294" i="6"/>
  <c r="P290" i="6"/>
  <c r="Q290" i="6"/>
  <c r="P286" i="6"/>
  <c r="Q286" i="6"/>
  <c r="P282" i="6"/>
  <c r="Q282" i="6"/>
  <c r="P278" i="6"/>
  <c r="Q278" i="6"/>
  <c r="P274" i="6"/>
  <c r="Q274" i="6"/>
  <c r="P270" i="6"/>
  <c r="Q270" i="6"/>
  <c r="P266" i="6"/>
  <c r="Q266" i="6"/>
  <c r="P262" i="6"/>
  <c r="Q262" i="6"/>
  <c r="P258" i="6"/>
  <c r="Q258" i="6"/>
  <c r="P254" i="6"/>
  <c r="Q254" i="6"/>
  <c r="P250" i="6"/>
  <c r="Q250" i="6"/>
  <c r="P246" i="6"/>
  <c r="Q246" i="6"/>
  <c r="P242" i="6"/>
  <c r="Q242" i="6"/>
  <c r="P238" i="6"/>
  <c r="Q238" i="6"/>
  <c r="P234" i="6"/>
  <c r="Q234" i="6"/>
  <c r="P230" i="6"/>
  <c r="Q230" i="6"/>
  <c r="P226" i="6"/>
  <c r="Q226" i="6"/>
  <c r="P222" i="6"/>
  <c r="Q222" i="6"/>
  <c r="P218" i="6"/>
  <c r="Q218" i="6"/>
  <c r="P214" i="6"/>
  <c r="Q214" i="6"/>
  <c r="P210" i="6"/>
  <c r="Q210" i="6"/>
  <c r="P206" i="6"/>
  <c r="Q206" i="6"/>
  <c r="P202" i="6"/>
  <c r="Q202" i="6"/>
  <c r="P198" i="6"/>
  <c r="Q198" i="6"/>
  <c r="P194" i="6"/>
  <c r="Q194" i="6"/>
  <c r="P190" i="6"/>
  <c r="Q190" i="6"/>
  <c r="P186" i="6"/>
  <c r="Q186" i="6"/>
  <c r="P182" i="6"/>
  <c r="Q182" i="6"/>
  <c r="P178" i="6"/>
  <c r="Q178" i="6"/>
  <c r="P174" i="6"/>
  <c r="Q174" i="6"/>
  <c r="P170" i="6"/>
  <c r="Q170" i="6"/>
  <c r="P166" i="6"/>
  <c r="Q166" i="6"/>
  <c r="P162" i="6"/>
  <c r="Q162" i="6"/>
  <c r="P158" i="6"/>
  <c r="Q158" i="6"/>
  <c r="P154" i="6"/>
  <c r="Q154" i="6"/>
  <c r="P150" i="6"/>
  <c r="Q150" i="6"/>
  <c r="P146" i="6"/>
  <c r="Q146" i="6"/>
  <c r="P142" i="6"/>
  <c r="Q142" i="6"/>
  <c r="P138" i="6"/>
  <c r="Q138" i="6"/>
  <c r="P134" i="6"/>
  <c r="Q134" i="6"/>
  <c r="P130" i="6"/>
  <c r="Q130" i="6"/>
  <c r="P126" i="6"/>
  <c r="Q126" i="6"/>
  <c r="P122" i="6"/>
  <c r="Q122" i="6"/>
  <c r="P118" i="6"/>
  <c r="Q118" i="6"/>
  <c r="P114" i="6"/>
  <c r="Q114" i="6"/>
  <c r="P110" i="6"/>
  <c r="Q110" i="6"/>
  <c r="P106" i="6"/>
  <c r="Q106" i="6"/>
  <c r="P102" i="6"/>
  <c r="Q102" i="6"/>
  <c r="P98" i="6"/>
  <c r="Q98" i="6"/>
  <c r="P94" i="6"/>
  <c r="Q94" i="6"/>
  <c r="P90" i="6"/>
  <c r="Q90" i="6"/>
  <c r="P86" i="6"/>
  <c r="Q86" i="6"/>
  <c r="P82" i="6"/>
  <c r="Q82" i="6"/>
  <c r="P78" i="6"/>
  <c r="Q78" i="6"/>
  <c r="P74" i="6"/>
  <c r="Q74" i="6"/>
  <c r="P70" i="6"/>
  <c r="Q70" i="6"/>
  <c r="P66" i="6"/>
  <c r="Q66" i="6"/>
  <c r="P62" i="6"/>
  <c r="Q62" i="6"/>
  <c r="P58" i="6"/>
  <c r="Q58" i="6"/>
  <c r="P54" i="6"/>
  <c r="Q54" i="6"/>
  <c r="P50" i="6"/>
  <c r="Q50" i="6"/>
  <c r="P46" i="6"/>
  <c r="Q46" i="6"/>
  <c r="P42" i="6"/>
  <c r="Q42" i="6"/>
  <c r="P38" i="6"/>
  <c r="Q38" i="6"/>
  <c r="P34" i="6"/>
  <c r="Q34" i="6"/>
  <c r="P30" i="6"/>
  <c r="Q30" i="6"/>
  <c r="P26" i="6"/>
  <c r="Q26" i="6"/>
  <c r="P22" i="6"/>
  <c r="Q22" i="6"/>
  <c r="P18" i="6"/>
  <c r="Q18" i="6"/>
  <c r="P14" i="6"/>
  <c r="Q14" i="6"/>
  <c r="P10" i="6"/>
  <c r="Q10" i="6"/>
  <c r="P6" i="6"/>
  <c r="Q6" i="6"/>
  <c r="P84" i="6"/>
  <c r="P52" i="6"/>
  <c r="P20" i="6"/>
  <c r="Q92" i="6"/>
  <c r="Q76" i="6"/>
  <c r="Q60" i="6"/>
  <c r="Q44" i="6"/>
  <c r="Q28" i="6"/>
  <c r="Q1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CDAFF7-BB07-4496-A9FB-E0DB4524456C}" name="Query - Final Dashboard" description="Connection to the 'Final Dashboard' query in the workbook." type="100" refreshedVersion="8" minRefreshableVersion="5">
    <extLst>
      <ext xmlns:x15="http://schemas.microsoft.com/office/spreadsheetml/2010/11/main" uri="{DE250136-89BD-433C-8126-D09CA5730AF9}">
        <x15:connection id="0c9c0764-ab40-4b5a-9ccf-5e0d3c63b023"/>
      </ext>
    </extLst>
  </connection>
  <connection id="2" xr16:uid="{6237B7D9-D26F-42A1-9947-B80A7A5CE7F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77D0B73-CCCF-4D4E-AAA6-8F937BC1460C}" name="WorksheetConnection_excel _task(2).xlsx!Table1" type="102" refreshedVersion="8" minRefreshableVersion="5">
    <extLst>
      <ext xmlns:x15="http://schemas.microsoft.com/office/spreadsheetml/2010/11/main" uri="{DE250136-89BD-433C-8126-D09CA5730AF9}">
        <x15:connection id="Table1" autoDelete="1">
          <x15:rangePr sourceName="_xlcn.WorksheetConnection_excel_task2.xlsxTable11"/>
        </x15:connection>
      </ext>
    </extLst>
  </connection>
</connections>
</file>

<file path=xl/sharedStrings.xml><?xml version="1.0" encoding="utf-8"?>
<sst xmlns="http://schemas.openxmlformats.org/spreadsheetml/2006/main" count="2240" uniqueCount="121">
  <si>
    <t>Product</t>
  </si>
  <si>
    <t>Amount</t>
  </si>
  <si>
    <t>Almond Choco</t>
  </si>
  <si>
    <t>Husein Augar</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</si>
  <si>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</si>
  <si>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</si>
  <si>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</si>
  <si>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</si>
  <si>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</si>
  <si>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</si>
  <si>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</si>
  <si>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</si>
  <si>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</si>
  <si>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</si>
  <si>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</si>
  <si>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</si>
  <si>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</si>
  <si>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</si>
  <si>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</si>
  <si>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</si>
  <si>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</si>
  <si>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</si>
  <si>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</si>
  <si>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</si>
  <si>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</si>
  <si>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</si>
  <si>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</si>
  <si>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Units</t>
  </si>
  <si>
    <t>Mohamed Ali</t>
  </si>
  <si>
    <t xml:space="preserve">Ahmed said </t>
  </si>
  <si>
    <t xml:space="preserve">Samira mostafa </t>
  </si>
  <si>
    <t xml:space="preserve">Sara khaled </t>
  </si>
  <si>
    <t xml:space="preserve">Hassan ahmed </t>
  </si>
  <si>
    <t xml:space="preserve">Hesham gamal </t>
  </si>
  <si>
    <t>Mohamed galal</t>
  </si>
  <si>
    <t xml:space="preserve">Abd alrahman mohamed </t>
  </si>
  <si>
    <t xml:space="preserve">Rahma mostafa </t>
  </si>
  <si>
    <t xml:space="preserve">Alex </t>
  </si>
  <si>
    <t>Cairo</t>
  </si>
  <si>
    <t xml:space="preserve">Sharm </t>
  </si>
  <si>
    <t xml:space="preserve">Al Gharbia </t>
  </si>
  <si>
    <t>gharbia</t>
  </si>
  <si>
    <t xml:space="preserve">  Al gharbia </t>
  </si>
  <si>
    <t xml:space="preserve">Giza </t>
  </si>
  <si>
    <t xml:space="preserve">Al giza </t>
  </si>
  <si>
    <t xml:space="preserve">Al sharqia </t>
  </si>
  <si>
    <t xml:space="preserve">Order date </t>
  </si>
  <si>
    <t>Order-ID</t>
  </si>
  <si>
    <t xml:space="preserve">The Meta-data </t>
  </si>
  <si>
    <t xml:space="preserve">We ask you as a data analyst to analyze our data in 2023 to clearifiy our sales performance to ensure that our business decisions enhance our business growth. </t>
  </si>
  <si>
    <t xml:space="preserve">Columns description </t>
  </si>
  <si>
    <t>The order identifier that represnts every (record-row) to ensure that every row is unique.</t>
  </si>
  <si>
    <t xml:space="preserve">The name of the person who is responsible of the selling operation . </t>
  </si>
  <si>
    <t xml:space="preserve">The region at which we sold our product. </t>
  </si>
  <si>
    <t>The name of our product .</t>
  </si>
  <si>
    <t>The price of each unit.</t>
  </si>
  <si>
    <t xml:space="preserve">The quantity of the sold products. </t>
  </si>
  <si>
    <t xml:space="preserve">The date of the selling operation ( Delievering date ) . </t>
  </si>
  <si>
    <t xml:space="preserve">We are a leading company in producing chocolates we had achieved some business goals at the last 3 years. </t>
  </si>
  <si>
    <t>What is the total sales per region ?</t>
  </si>
  <si>
    <t>What is the total sales per product ?</t>
  </si>
  <si>
    <t xml:space="preserve">What is the unit sold per product ? </t>
  </si>
  <si>
    <t>What is the total sales per month ?</t>
  </si>
  <si>
    <t>What is the total sales per person?</t>
  </si>
  <si>
    <t xml:space="preserve">What is the total sales for 23 ? </t>
  </si>
  <si>
    <t>What is the total order per person ?</t>
  </si>
  <si>
    <t xml:space="preserve">What is the total order per month ? </t>
  </si>
  <si>
    <t>What is the total unit sold per region ?</t>
  </si>
  <si>
    <t>Please help us to know the total sales for each month and tell us what the lowest and heights months in total sales is.</t>
  </si>
  <si>
    <t xml:space="preserve">We need from you to classify our data based on total seals, so if the total sale value of each cell greater than the average of whole total sale column, classify it with level 1 otherwise make it 0. </t>
  </si>
  <si>
    <t xml:space="preserve">Over all Total Sales </t>
  </si>
  <si>
    <t>How many sale persone we have?</t>
  </si>
  <si>
    <t>How many regions we located?</t>
  </si>
  <si>
    <t>How many products we have?</t>
  </si>
  <si>
    <t>What is the average of units?</t>
  </si>
  <si>
    <t>What is the total number of orders?</t>
  </si>
  <si>
    <t>Solve the problems</t>
  </si>
  <si>
    <t>save all transactions for each geography in individual sheet and sort the results in descending order by the total sales.</t>
  </si>
  <si>
    <t>unit price</t>
  </si>
  <si>
    <t>Total sales</t>
  </si>
  <si>
    <t>day2</t>
  </si>
  <si>
    <t>month</t>
  </si>
  <si>
    <t>month2</t>
  </si>
  <si>
    <t>quarter</t>
  </si>
  <si>
    <t>quarter2</t>
  </si>
  <si>
    <t>Row Labels</t>
  </si>
  <si>
    <t>Abd alrahman mohamed</t>
  </si>
  <si>
    <t>Ahmed said</t>
  </si>
  <si>
    <t>Hassan ahmed</t>
  </si>
  <si>
    <t>Hesham gamal</t>
  </si>
  <si>
    <t>Rahma mostafa</t>
  </si>
  <si>
    <t>Samira mostafa</t>
  </si>
  <si>
    <t>Sara khaled</t>
  </si>
  <si>
    <t>Grand Total</t>
  </si>
  <si>
    <t>Sum of Units</t>
  </si>
  <si>
    <t>sales person</t>
  </si>
  <si>
    <t>Sum of Total sales</t>
  </si>
  <si>
    <t>May</t>
  </si>
  <si>
    <t>Apr</t>
  </si>
  <si>
    <t>Aug</t>
  </si>
  <si>
    <t>Feb</t>
  </si>
  <si>
    <t>Jan</t>
  </si>
  <si>
    <t>Jul</t>
  </si>
  <si>
    <t>Jun</t>
  </si>
  <si>
    <t>Mar</t>
  </si>
  <si>
    <t>Nov</t>
  </si>
  <si>
    <t>Oct</t>
  </si>
  <si>
    <t>Sep</t>
  </si>
  <si>
    <t>Al Gharbia</t>
  </si>
  <si>
    <t>Al sharqia</t>
  </si>
  <si>
    <t>Alex</t>
  </si>
  <si>
    <t>Giza</t>
  </si>
  <si>
    <t>Sharm</t>
  </si>
  <si>
    <t>No. Sales Person</t>
  </si>
  <si>
    <t>No.Product</t>
  </si>
  <si>
    <t>No.rigion</t>
  </si>
  <si>
    <t xml:space="preserve"> </t>
  </si>
  <si>
    <t>Average of Total sales</t>
  </si>
  <si>
    <t>Column Labels</t>
  </si>
  <si>
    <t>Sum of month</t>
  </si>
  <si>
    <t xml:space="preserve">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</si>
</sst>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6"/>
      <color theme="5" tint="-0.499984740745262"/>
      <name val="Calibri"/>
      <family val="2"/>
      <scheme val="minor"/>
    </font>
    <font>
      <sz val="14"/>
      <color theme="1"/>
      <name val="Calibri"/>
      <family val="2"/>
      <scheme val="minor"/>
    </font>
    <font>
      <sz val="16"/>
      <color theme="1"/>
      <name val="Calibri"/>
      <family val="2"/>
      <scheme val="minor"/>
    </font>
    <font>
      <sz val="28"/>
      <color rgb="FFC00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theme="0" tint="-0.14999847407452621"/>
      </patternFill>
    </fill>
    <fill>
      <patternFill patternType="solid">
        <fgColor theme="4" tint="-0.249977111117893"/>
        <bgColor indexed="64"/>
      </patternFill>
    </fill>
    <fill>
      <patternFill patternType="solid">
        <fgColor theme="3" tint="-0.249977111117893"/>
        <bgColor indexed="64"/>
      </patternFill>
    </fill>
    <fill>
      <patternFill patternType="solid">
        <fgColor theme="5" tint="0.79998168889431442"/>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theme="1"/>
      </top>
      <bottom style="thin">
        <color theme="1"/>
      </bottom>
      <diagonal/>
    </border>
  </borders>
  <cellStyleXfs count="1">
    <xf numFmtId="0" fontId="0" fillId="0" borderId="0"/>
  </cellStyleXfs>
  <cellXfs count="20">
    <xf numFmtId="0" fontId="0" fillId="0" borderId="0" xfId="0"/>
    <xf numFmtId="0" fontId="1" fillId="2" borderId="0" xfId="0" applyFont="1" applyFill="1"/>
    <xf numFmtId="0" fontId="0" fillId="2" borderId="0" xfId="0" applyFill="1"/>
    <xf numFmtId="0" fontId="2" fillId="2" borderId="0" xfId="0" applyFont="1" applyFill="1"/>
    <xf numFmtId="2" fontId="0" fillId="0" borderId="0" xfId="0" applyNumberFormat="1"/>
    <xf numFmtId="0" fontId="3" fillId="2" borderId="2" xfId="0" applyFont="1" applyFill="1" applyBorder="1" applyAlignment="1">
      <alignment horizontal="center" vertical="center"/>
    </xf>
    <xf numFmtId="0" fontId="0" fillId="4" borderId="3" xfId="0" applyFill="1" applyBorder="1"/>
    <xf numFmtId="0" fontId="0" fillId="0" borderId="3" xfId="0" applyBorder="1"/>
    <xf numFmtId="14" fontId="0" fillId="0" borderId="0" xfId="0" applyNumberFormat="1"/>
    <xf numFmtId="0" fontId="0" fillId="0" borderId="0" xfId="0" pivotButton="1"/>
    <xf numFmtId="0" fontId="0" fillId="0" borderId="0" xfId="0" applyAlignment="1">
      <alignment horizontal="left"/>
    </xf>
    <xf numFmtId="0" fontId="0" fillId="5" borderId="0" xfId="0" applyFill="1"/>
    <xf numFmtId="3" fontId="0" fillId="0" borderId="0" xfId="0" applyNumberFormat="1"/>
    <xf numFmtId="10" fontId="0" fillId="0" borderId="0" xfId="0" applyNumberFormat="1"/>
    <xf numFmtId="0" fontId="0" fillId="6" borderId="0" xfId="0" applyFill="1"/>
    <xf numFmtId="0" fontId="0" fillId="7" borderId="0" xfId="0" applyFill="1"/>
    <xf numFmtId="0" fontId="0" fillId="3" borderId="1" xfId="0" applyFill="1" applyBorder="1" applyAlignment="1">
      <alignment horizontal="center"/>
    </xf>
    <xf numFmtId="0" fontId="4" fillId="3" borderId="0" xfId="0" applyFont="1" applyFill="1" applyAlignment="1">
      <alignment horizontal="center" vertical="center"/>
    </xf>
    <xf numFmtId="0" fontId="0" fillId="0" borderId="0" xfId="0" applyNumberFormat="1"/>
    <xf numFmtId="0" fontId="0" fillId="0" borderId="0" xfId="0" applyFill="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292929"/>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tyles" Target="styles.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_task_dashpourd(2).xlsx]Pivot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bg1"/>
                </a:solidFill>
              </a:rPr>
              <a:t>Total Units per sales person</a:t>
            </a:r>
          </a:p>
        </c:rich>
      </c:tx>
      <c:overlay val="0"/>
      <c:spPr>
        <a:solidFill>
          <a:schemeClr val="accent5">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5"/>
            </a:solidFill>
            <a:ln>
              <a:noFill/>
            </a:ln>
            <a:effectLst/>
          </c:spPr>
          <c:invertIfNegative val="0"/>
          <c:cat>
            <c:strRef>
              <c:f>'Pivot Tables'!$A$4:$A$14</c:f>
              <c:strCache>
                <c:ptCount val="10"/>
                <c:pt idx="0">
                  <c:v>Hesham gamal</c:v>
                </c:pt>
                <c:pt idx="1">
                  <c:v>Abd alrahman mohamed</c:v>
                </c:pt>
                <c:pt idx="2">
                  <c:v>Samira mostafa</c:v>
                </c:pt>
                <c:pt idx="3">
                  <c:v>Husein Augar</c:v>
                </c:pt>
                <c:pt idx="4">
                  <c:v>Rahma mostafa</c:v>
                </c:pt>
                <c:pt idx="5">
                  <c:v>Ahmed said</c:v>
                </c:pt>
                <c:pt idx="6">
                  <c:v>Mohamed galal</c:v>
                </c:pt>
                <c:pt idx="7">
                  <c:v>Mohamed Ali</c:v>
                </c:pt>
                <c:pt idx="8">
                  <c:v>Sara khaled</c:v>
                </c:pt>
                <c:pt idx="9">
                  <c:v>Hassan ahmed</c:v>
                </c:pt>
              </c:strCache>
            </c:strRef>
          </c:cat>
          <c:val>
            <c:numRef>
              <c:f>'Pivot Tables'!$B$4:$B$14</c:f>
              <c:numCache>
                <c:formatCode>General</c:formatCode>
                <c:ptCount val="10"/>
                <c:pt idx="0">
                  <c:v>3804</c:v>
                </c:pt>
                <c:pt idx="1">
                  <c:v>4221</c:v>
                </c:pt>
                <c:pt idx="2">
                  <c:v>4245</c:v>
                </c:pt>
                <c:pt idx="3">
                  <c:v>4554</c:v>
                </c:pt>
                <c:pt idx="4">
                  <c:v>4686</c:v>
                </c:pt>
                <c:pt idx="5">
                  <c:v>4704</c:v>
                </c:pt>
                <c:pt idx="6">
                  <c:v>5007</c:v>
                </c:pt>
                <c:pt idx="7">
                  <c:v>5154</c:v>
                </c:pt>
                <c:pt idx="8">
                  <c:v>5295</c:v>
                </c:pt>
                <c:pt idx="9">
                  <c:v>6294</c:v>
                </c:pt>
              </c:numCache>
            </c:numRef>
          </c:val>
          <c:extLst>
            <c:ext xmlns:c16="http://schemas.microsoft.com/office/drawing/2014/chart" uri="{C3380CC4-5D6E-409C-BE32-E72D297353CC}">
              <c16:uniqueId val="{00000000-9F93-464E-A977-16EDFEBF9F22}"/>
            </c:ext>
          </c:extLst>
        </c:ser>
        <c:dLbls>
          <c:showLegendKey val="0"/>
          <c:showVal val="0"/>
          <c:showCatName val="0"/>
          <c:showSerName val="0"/>
          <c:showPercent val="0"/>
          <c:showBubbleSize val="0"/>
        </c:dLbls>
        <c:gapWidth val="182"/>
        <c:axId val="1500217440"/>
        <c:axId val="1500219840"/>
      </c:barChart>
      <c:catAx>
        <c:axId val="150021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219840"/>
        <c:crosses val="autoZero"/>
        <c:auto val="1"/>
        <c:lblAlgn val="ctr"/>
        <c:lblOffset val="100"/>
        <c:noMultiLvlLbl val="0"/>
      </c:catAx>
      <c:valAx>
        <c:axId val="1500219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21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_task_dashpourd(2).xlsx]Pivot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chemeClr val="bg1"/>
                </a:solidFill>
              </a:rPr>
              <a:t>Total sales per prouduct</a:t>
            </a:r>
          </a:p>
        </c:rich>
      </c:tx>
      <c:overlay val="0"/>
      <c:spPr>
        <a:solidFill>
          <a:schemeClr val="accent5">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Tables'!$I$3</c:f>
              <c:strCache>
                <c:ptCount val="1"/>
                <c:pt idx="0">
                  <c:v>Total</c:v>
                </c:pt>
              </c:strCache>
            </c:strRef>
          </c:tx>
          <c:spPr>
            <a:solidFill>
              <a:schemeClr val="accent5"/>
            </a:solidFill>
            <a:ln>
              <a:noFill/>
            </a:ln>
            <a:effectLst/>
          </c:spPr>
          <c:invertIfNegative val="0"/>
          <c:cat>
            <c:strRef>
              <c:f>'Pivot Tables'!$H$4:$H$14</c:f>
              <c:strCache>
                <c:ptCount val="10"/>
                <c:pt idx="0">
                  <c:v>Peanut Butter Cubes</c:v>
                </c:pt>
                <c:pt idx="1">
                  <c:v>Raspberry Choco</c:v>
                </c:pt>
                <c:pt idx="2">
                  <c:v>Manuka Honey Choco</c:v>
                </c:pt>
                <c:pt idx="3">
                  <c:v>Baker's Choco Chips</c:v>
                </c:pt>
                <c:pt idx="4">
                  <c:v>Organic Choco Syrup</c:v>
                </c:pt>
                <c:pt idx="5">
                  <c:v>Smooth Sliky Salty</c:v>
                </c:pt>
                <c:pt idx="6">
                  <c:v>70% Dark Bites</c:v>
                </c:pt>
                <c:pt idx="7">
                  <c:v>Orange Choco</c:v>
                </c:pt>
                <c:pt idx="8">
                  <c:v>Choco Coated Almonds</c:v>
                </c:pt>
                <c:pt idx="9">
                  <c:v>Caramel Stuffed Bars</c:v>
                </c:pt>
              </c:strCache>
            </c:strRef>
          </c:cat>
          <c:val>
            <c:numRef>
              <c:f>'Pivot Tables'!$I$4:$I$14</c:f>
              <c:numCache>
                <c:formatCode>#,##0</c:formatCode>
                <c:ptCount val="10"/>
                <c:pt idx="0">
                  <c:v>9393615</c:v>
                </c:pt>
                <c:pt idx="1">
                  <c:v>9409596</c:v>
                </c:pt>
                <c:pt idx="2">
                  <c:v>9762354</c:v>
                </c:pt>
                <c:pt idx="3">
                  <c:v>9790893</c:v>
                </c:pt>
                <c:pt idx="4">
                  <c:v>9836946</c:v>
                </c:pt>
                <c:pt idx="5">
                  <c:v>11980836</c:v>
                </c:pt>
                <c:pt idx="6">
                  <c:v>13848513</c:v>
                </c:pt>
                <c:pt idx="7">
                  <c:v>14105994</c:v>
                </c:pt>
                <c:pt idx="8">
                  <c:v>15386112</c:v>
                </c:pt>
                <c:pt idx="9">
                  <c:v>15466773</c:v>
                </c:pt>
              </c:numCache>
            </c:numRef>
          </c:val>
          <c:extLst>
            <c:ext xmlns:c16="http://schemas.microsoft.com/office/drawing/2014/chart" uri="{C3380CC4-5D6E-409C-BE32-E72D297353CC}">
              <c16:uniqueId val="{00000000-72F0-4ACA-A397-97870AC16FFA}"/>
            </c:ext>
          </c:extLst>
        </c:ser>
        <c:dLbls>
          <c:showLegendKey val="0"/>
          <c:showVal val="0"/>
          <c:showCatName val="0"/>
          <c:showSerName val="0"/>
          <c:showPercent val="0"/>
          <c:showBubbleSize val="0"/>
        </c:dLbls>
        <c:gapWidth val="182"/>
        <c:axId val="1503765808"/>
        <c:axId val="1503766288"/>
      </c:barChart>
      <c:catAx>
        <c:axId val="150376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766288"/>
        <c:crosses val="autoZero"/>
        <c:auto val="1"/>
        <c:lblAlgn val="ctr"/>
        <c:lblOffset val="100"/>
        <c:noMultiLvlLbl val="0"/>
      </c:catAx>
      <c:valAx>
        <c:axId val="15037662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76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_task_dashpourd(2).xlsx]Pivot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a:t>
            </a:r>
            <a:r>
              <a:rPr lang="en-US" baseline="0">
                <a:solidFill>
                  <a:schemeClr val="bg1"/>
                </a:solidFill>
              </a:rPr>
              <a:t> sales per month</a:t>
            </a:r>
            <a:endParaRPr lang="en-US">
              <a:solidFill>
                <a:schemeClr val="bg1"/>
              </a:solidFill>
            </a:endParaRPr>
          </a:p>
        </c:rich>
      </c:tx>
      <c:overlay val="0"/>
      <c:spPr>
        <a:solidFill>
          <a:schemeClr val="accent5">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Tables'!$P$3</c:f>
              <c:strCache>
                <c:ptCount val="1"/>
                <c:pt idx="0">
                  <c:v>Total</c:v>
                </c:pt>
              </c:strCache>
            </c:strRef>
          </c:tx>
          <c:spPr>
            <a:ln w="28575" cap="rnd">
              <a:solidFill>
                <a:schemeClr val="accent1"/>
              </a:solidFill>
              <a:round/>
            </a:ln>
            <a:effectLst/>
          </c:spPr>
          <c:marker>
            <c:symbol val="none"/>
          </c:marker>
          <c:cat>
            <c:strRef>
              <c:f>'Pivot Tables'!$O$4:$O$15</c:f>
              <c:strCache>
                <c:ptCount val="11"/>
                <c:pt idx="0">
                  <c:v>Jan</c:v>
                </c:pt>
                <c:pt idx="1">
                  <c:v>Jun</c:v>
                </c:pt>
                <c:pt idx="2">
                  <c:v>Mar</c:v>
                </c:pt>
                <c:pt idx="3">
                  <c:v>Apr</c:v>
                </c:pt>
                <c:pt idx="4">
                  <c:v>Oct</c:v>
                </c:pt>
                <c:pt idx="5">
                  <c:v>May</c:v>
                </c:pt>
                <c:pt idx="6">
                  <c:v>Jul</c:v>
                </c:pt>
                <c:pt idx="7">
                  <c:v>Feb</c:v>
                </c:pt>
                <c:pt idx="8">
                  <c:v>Aug</c:v>
                </c:pt>
                <c:pt idx="9">
                  <c:v>Sep</c:v>
                </c:pt>
                <c:pt idx="10">
                  <c:v>Nov</c:v>
                </c:pt>
              </c:strCache>
            </c:strRef>
          </c:cat>
          <c:val>
            <c:numRef>
              <c:f>'Pivot Tables'!$P$4:$P$15</c:f>
              <c:numCache>
                <c:formatCode>General</c:formatCode>
                <c:ptCount val="11"/>
                <c:pt idx="0">
                  <c:v>28072401</c:v>
                </c:pt>
                <c:pt idx="1">
                  <c:v>22639596</c:v>
                </c:pt>
                <c:pt idx="2">
                  <c:v>22513827</c:v>
                </c:pt>
                <c:pt idx="3">
                  <c:v>20188182</c:v>
                </c:pt>
                <c:pt idx="4">
                  <c:v>19977657</c:v>
                </c:pt>
                <c:pt idx="5">
                  <c:v>19416075</c:v>
                </c:pt>
                <c:pt idx="6">
                  <c:v>17877531</c:v>
                </c:pt>
                <c:pt idx="7">
                  <c:v>15279306</c:v>
                </c:pt>
                <c:pt idx="8">
                  <c:v>14735826</c:v>
                </c:pt>
                <c:pt idx="9">
                  <c:v>14141106</c:v>
                </c:pt>
                <c:pt idx="10">
                  <c:v>8697192</c:v>
                </c:pt>
              </c:numCache>
            </c:numRef>
          </c:val>
          <c:smooth val="0"/>
          <c:extLst>
            <c:ext xmlns:c16="http://schemas.microsoft.com/office/drawing/2014/chart" uri="{C3380CC4-5D6E-409C-BE32-E72D297353CC}">
              <c16:uniqueId val="{00000000-FCC2-41E1-8356-F6F5F604A819}"/>
            </c:ext>
          </c:extLst>
        </c:ser>
        <c:dLbls>
          <c:showLegendKey val="0"/>
          <c:showVal val="0"/>
          <c:showCatName val="0"/>
          <c:showSerName val="0"/>
          <c:showPercent val="0"/>
          <c:showBubbleSize val="0"/>
        </c:dLbls>
        <c:smooth val="0"/>
        <c:axId val="1600666352"/>
        <c:axId val="1600662032"/>
      </c:lineChart>
      <c:catAx>
        <c:axId val="160066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662032"/>
        <c:crosses val="autoZero"/>
        <c:auto val="1"/>
        <c:lblAlgn val="ctr"/>
        <c:lblOffset val="100"/>
        <c:noMultiLvlLbl val="0"/>
      </c:catAx>
      <c:valAx>
        <c:axId val="1600662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66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_task_dashpourd(2).xlsx]Pivot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chemeClr val="bg1"/>
                </a:solidFill>
              </a:rPr>
              <a:t>Total</a:t>
            </a:r>
            <a:r>
              <a:rPr lang="en-GB" baseline="0">
                <a:solidFill>
                  <a:schemeClr val="bg1"/>
                </a:solidFill>
              </a:rPr>
              <a:t> sales per rigion</a:t>
            </a:r>
            <a:endParaRPr lang="en-GB">
              <a:solidFill>
                <a:schemeClr val="bg1"/>
              </a:solidFill>
            </a:endParaRPr>
          </a:p>
        </c:rich>
      </c:tx>
      <c:overlay val="0"/>
      <c:spPr>
        <a:solidFill>
          <a:schemeClr val="accent5">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50000"/>
            </a:schemeClr>
          </a:solidFill>
          <a:ln w="19050">
            <a:solidFill>
              <a:schemeClr val="lt1"/>
            </a:solidFill>
          </a:ln>
          <a:effectLst/>
        </c:spPr>
      </c:pivotFmt>
      <c:pivotFmt>
        <c:idx val="2"/>
        <c:spPr>
          <a:solidFill>
            <a:schemeClr val="accent5">
              <a:shade val="70000"/>
            </a:schemeClr>
          </a:solidFill>
          <a:ln w="19050">
            <a:solidFill>
              <a:schemeClr val="lt1"/>
            </a:solidFill>
          </a:ln>
          <a:effectLst/>
        </c:spPr>
      </c:pivotFmt>
      <c:pivotFmt>
        <c:idx val="3"/>
        <c:spPr>
          <a:solidFill>
            <a:schemeClr val="accent5">
              <a:shade val="90000"/>
            </a:schemeClr>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tint val="70000"/>
            </a:schemeClr>
          </a:solidFill>
          <a:ln w="19050">
            <a:solidFill>
              <a:schemeClr val="lt1"/>
            </a:solidFill>
          </a:ln>
          <a:effectLst/>
        </c:spPr>
      </c:pivotFmt>
      <c:pivotFmt>
        <c:idx val="6"/>
        <c:spPr>
          <a:solidFill>
            <a:schemeClr val="accent5"/>
          </a:solidFill>
          <a:ln w="19050">
            <a:solidFill>
              <a:schemeClr val="lt1"/>
            </a:solidFill>
          </a:ln>
          <a:effectLst/>
        </c:spPr>
      </c:pivotFmt>
    </c:pivotFmts>
    <c:plotArea>
      <c:layout/>
      <c:pieChart>
        <c:varyColors val="1"/>
        <c:ser>
          <c:idx val="0"/>
          <c:order val="0"/>
          <c:tx>
            <c:strRef>
              <c:f>'Pivot Tables'!$Y$3</c:f>
              <c:strCache>
                <c:ptCount val="1"/>
                <c:pt idx="0">
                  <c:v>Total</c:v>
                </c:pt>
              </c:strCache>
            </c:strRef>
          </c:tx>
          <c:dPt>
            <c:idx val="0"/>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01-EB8B-4ABB-BBDC-31F134CE77C5}"/>
              </c:ext>
            </c:extLst>
          </c:dPt>
          <c:dPt>
            <c:idx val="1"/>
            <c:bubble3D val="0"/>
            <c:spPr>
              <a:solidFill>
                <a:schemeClr val="accent5">
                  <a:shade val="70000"/>
                </a:schemeClr>
              </a:solidFill>
              <a:ln w="19050">
                <a:solidFill>
                  <a:schemeClr val="lt1"/>
                </a:solidFill>
              </a:ln>
              <a:effectLst/>
            </c:spPr>
            <c:extLst>
              <c:ext xmlns:c16="http://schemas.microsoft.com/office/drawing/2014/chart" uri="{C3380CC4-5D6E-409C-BE32-E72D297353CC}">
                <c16:uniqueId val="{00000003-EB8B-4ABB-BBDC-31F134CE77C5}"/>
              </c:ext>
            </c:extLst>
          </c:dPt>
          <c:dPt>
            <c:idx val="2"/>
            <c:bubble3D val="0"/>
            <c:spPr>
              <a:solidFill>
                <a:schemeClr val="accent5">
                  <a:shade val="90000"/>
                </a:schemeClr>
              </a:solidFill>
              <a:ln w="19050">
                <a:solidFill>
                  <a:schemeClr val="lt1"/>
                </a:solidFill>
              </a:ln>
              <a:effectLst/>
            </c:spPr>
            <c:extLst>
              <c:ext xmlns:c16="http://schemas.microsoft.com/office/drawing/2014/chart" uri="{C3380CC4-5D6E-409C-BE32-E72D297353CC}">
                <c16:uniqueId val="{00000005-EB8B-4ABB-BBDC-31F134CE77C5}"/>
              </c:ext>
            </c:extLst>
          </c:dPt>
          <c:dPt>
            <c:idx val="3"/>
            <c:bubble3D val="0"/>
            <c:spPr>
              <a:solidFill>
                <a:schemeClr val="accent5">
                  <a:tint val="90000"/>
                </a:schemeClr>
              </a:solidFill>
              <a:ln w="19050">
                <a:solidFill>
                  <a:schemeClr val="lt1"/>
                </a:solidFill>
              </a:ln>
              <a:effectLst/>
            </c:spPr>
            <c:extLst>
              <c:ext xmlns:c16="http://schemas.microsoft.com/office/drawing/2014/chart" uri="{C3380CC4-5D6E-409C-BE32-E72D297353CC}">
                <c16:uniqueId val="{00000007-EB8B-4ABB-BBDC-31F134CE77C5}"/>
              </c:ext>
            </c:extLst>
          </c:dPt>
          <c:dPt>
            <c:idx val="4"/>
            <c:bubble3D val="0"/>
            <c:spPr>
              <a:solidFill>
                <a:schemeClr val="accent5">
                  <a:tint val="70000"/>
                </a:schemeClr>
              </a:solidFill>
              <a:ln w="19050">
                <a:solidFill>
                  <a:schemeClr val="lt1"/>
                </a:solidFill>
              </a:ln>
              <a:effectLst/>
            </c:spPr>
            <c:extLst>
              <c:ext xmlns:c16="http://schemas.microsoft.com/office/drawing/2014/chart" uri="{C3380CC4-5D6E-409C-BE32-E72D297353CC}">
                <c16:uniqueId val="{00000009-EB8B-4ABB-BBDC-31F134CE77C5}"/>
              </c:ext>
            </c:extLst>
          </c:dPt>
          <c:dPt>
            <c:idx val="5"/>
            <c:bubble3D val="0"/>
            <c:spPr>
              <a:solidFill>
                <a:schemeClr val="accent5">
                  <a:tint val="50000"/>
                </a:schemeClr>
              </a:solidFill>
              <a:ln w="19050">
                <a:solidFill>
                  <a:schemeClr val="lt1"/>
                </a:solidFill>
              </a:ln>
              <a:effectLst/>
            </c:spPr>
            <c:extLst>
              <c:ext xmlns:c16="http://schemas.microsoft.com/office/drawing/2014/chart" uri="{C3380CC4-5D6E-409C-BE32-E72D297353CC}">
                <c16:uniqueId val="{0000000B-EB8B-4ABB-BBDC-31F134CE77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Tables'!$X$4:$X$10</c:f>
              <c:strCache>
                <c:ptCount val="6"/>
                <c:pt idx="0">
                  <c:v>Al Gharbia</c:v>
                </c:pt>
                <c:pt idx="1">
                  <c:v>Al sharqia</c:v>
                </c:pt>
                <c:pt idx="2">
                  <c:v>Alex</c:v>
                </c:pt>
                <c:pt idx="3">
                  <c:v>Cairo</c:v>
                </c:pt>
                <c:pt idx="4">
                  <c:v>Giza</c:v>
                </c:pt>
                <c:pt idx="5">
                  <c:v>Sharm</c:v>
                </c:pt>
              </c:strCache>
            </c:strRef>
          </c:cat>
          <c:val>
            <c:numRef>
              <c:f>'Pivot Tables'!$Y$4:$Y$10</c:f>
              <c:numCache>
                <c:formatCode>0.00%</c:formatCode>
                <c:ptCount val="6"/>
                <c:pt idx="0">
                  <c:v>0.13427993857816689</c:v>
                </c:pt>
                <c:pt idx="1">
                  <c:v>0.21586547037917345</c:v>
                </c:pt>
                <c:pt idx="2">
                  <c:v>0.16510682324838874</c:v>
                </c:pt>
                <c:pt idx="3">
                  <c:v>0.14844104904099834</c:v>
                </c:pt>
                <c:pt idx="4">
                  <c:v>0.10658202644795327</c:v>
                </c:pt>
                <c:pt idx="5">
                  <c:v>0.22972469230531931</c:v>
                </c:pt>
              </c:numCache>
            </c:numRef>
          </c:val>
          <c:extLst>
            <c:ext xmlns:c16="http://schemas.microsoft.com/office/drawing/2014/chart" uri="{C3380CC4-5D6E-409C-BE32-E72D297353CC}">
              <c16:uniqueId val="{00000000-CAA0-4FAE-ADD6-0FC9F554234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_task_dashpourd(2).xlsx]Pivot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salesman</a:t>
            </a:r>
            <a:r>
              <a:rPr lang="en-US" baseline="0"/>
              <a:t> total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Tables'!$AH$4</c:f>
              <c:strCache>
                <c:ptCount val="1"/>
                <c:pt idx="0">
                  <c:v>Total</c:v>
                </c:pt>
              </c:strCache>
            </c:strRef>
          </c:tx>
          <c:spPr>
            <a:solidFill>
              <a:schemeClr val="accent1"/>
            </a:solidFill>
            <a:ln>
              <a:noFill/>
            </a:ln>
            <a:effectLst/>
          </c:spPr>
          <c:invertIfNegative val="0"/>
          <c:cat>
            <c:strRef>
              <c:f>'Pivot Tables'!$AG$5:$AG$15</c:f>
              <c:strCache>
                <c:ptCount val="10"/>
                <c:pt idx="0">
                  <c:v>Abd alrahman mohamed</c:v>
                </c:pt>
                <c:pt idx="1">
                  <c:v>Ahmed said</c:v>
                </c:pt>
                <c:pt idx="2">
                  <c:v>Samira mostafa</c:v>
                </c:pt>
                <c:pt idx="3">
                  <c:v>Husein Augar</c:v>
                </c:pt>
                <c:pt idx="4">
                  <c:v>Hassan ahmed</c:v>
                </c:pt>
                <c:pt idx="5">
                  <c:v>Mohamed galal</c:v>
                </c:pt>
                <c:pt idx="6">
                  <c:v>Hesham gamal</c:v>
                </c:pt>
                <c:pt idx="7">
                  <c:v>Mohamed Ali</c:v>
                </c:pt>
                <c:pt idx="8">
                  <c:v>Rahma mostafa</c:v>
                </c:pt>
                <c:pt idx="9">
                  <c:v>Sara khaled</c:v>
                </c:pt>
              </c:strCache>
            </c:strRef>
          </c:cat>
          <c:val>
            <c:numRef>
              <c:f>'Pivot Tables'!$AH$5:$AH$15</c:f>
              <c:numCache>
                <c:formatCode>0.00%</c:formatCode>
                <c:ptCount val="10"/>
                <c:pt idx="0">
                  <c:v>7.7326695499807627E-2</c:v>
                </c:pt>
                <c:pt idx="1">
                  <c:v>8.102890546627696E-2</c:v>
                </c:pt>
                <c:pt idx="2">
                  <c:v>8.2692284478049063E-2</c:v>
                </c:pt>
                <c:pt idx="3">
                  <c:v>0.10039650985486549</c:v>
                </c:pt>
                <c:pt idx="4">
                  <c:v>0.10611320159809019</c:v>
                </c:pt>
                <c:pt idx="5">
                  <c:v>0.10614126505741299</c:v>
                </c:pt>
                <c:pt idx="6">
                  <c:v>0.10654343919138444</c:v>
                </c:pt>
                <c:pt idx="7">
                  <c:v>0.10699162914468663</c:v>
                </c:pt>
                <c:pt idx="8">
                  <c:v>0.1118130759006178</c:v>
                </c:pt>
                <c:pt idx="9">
                  <c:v>0.12095299380880881</c:v>
                </c:pt>
              </c:numCache>
            </c:numRef>
          </c:val>
          <c:extLst>
            <c:ext xmlns:c16="http://schemas.microsoft.com/office/drawing/2014/chart" uri="{C3380CC4-5D6E-409C-BE32-E72D297353CC}">
              <c16:uniqueId val="{00000000-51B2-4122-BE18-93C53F24CD4E}"/>
            </c:ext>
          </c:extLst>
        </c:ser>
        <c:dLbls>
          <c:showLegendKey val="0"/>
          <c:showVal val="0"/>
          <c:showCatName val="0"/>
          <c:showSerName val="0"/>
          <c:showPercent val="0"/>
          <c:showBubbleSize val="0"/>
        </c:dLbls>
        <c:gapWidth val="182"/>
        <c:axId val="836199167"/>
        <c:axId val="836182367"/>
      </c:barChart>
      <c:catAx>
        <c:axId val="836199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182367"/>
        <c:crosses val="autoZero"/>
        <c:auto val="1"/>
        <c:lblAlgn val="ctr"/>
        <c:lblOffset val="100"/>
        <c:noMultiLvlLbl val="0"/>
      </c:catAx>
      <c:valAx>
        <c:axId val="8361823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19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_task_dashpourd(2).xlsx]Pivot Tables!PivotTable3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Tables'!$AH$4</c:f>
              <c:strCache>
                <c:ptCount val="1"/>
                <c:pt idx="0">
                  <c:v>Total</c:v>
                </c:pt>
              </c:strCache>
            </c:strRef>
          </c:tx>
          <c:spPr>
            <a:solidFill>
              <a:schemeClr val="accent1"/>
            </a:solidFill>
            <a:ln>
              <a:noFill/>
            </a:ln>
            <a:effectLst/>
            <a:sp3d/>
          </c:spPr>
          <c:invertIfNegative val="0"/>
          <c:cat>
            <c:strRef>
              <c:f>'Pivot Tables'!$AG$5:$AG$15</c:f>
              <c:strCache>
                <c:ptCount val="10"/>
                <c:pt idx="0">
                  <c:v>Abd alrahman mohamed</c:v>
                </c:pt>
                <c:pt idx="1">
                  <c:v>Ahmed said</c:v>
                </c:pt>
                <c:pt idx="2">
                  <c:v>Samira mostafa</c:v>
                </c:pt>
                <c:pt idx="3">
                  <c:v>Husein Augar</c:v>
                </c:pt>
                <c:pt idx="4">
                  <c:v>Hassan ahmed</c:v>
                </c:pt>
                <c:pt idx="5">
                  <c:v>Mohamed galal</c:v>
                </c:pt>
                <c:pt idx="6">
                  <c:v>Hesham gamal</c:v>
                </c:pt>
                <c:pt idx="7">
                  <c:v>Mohamed Ali</c:v>
                </c:pt>
                <c:pt idx="8">
                  <c:v>Rahma mostafa</c:v>
                </c:pt>
                <c:pt idx="9">
                  <c:v>Sara khaled</c:v>
                </c:pt>
              </c:strCache>
            </c:strRef>
          </c:cat>
          <c:val>
            <c:numRef>
              <c:f>'Pivot Tables'!$AH$5:$AH$15</c:f>
              <c:numCache>
                <c:formatCode>0.00%</c:formatCode>
                <c:ptCount val="10"/>
                <c:pt idx="0">
                  <c:v>7.7326695499807627E-2</c:v>
                </c:pt>
                <c:pt idx="1">
                  <c:v>8.102890546627696E-2</c:v>
                </c:pt>
                <c:pt idx="2">
                  <c:v>8.2692284478049063E-2</c:v>
                </c:pt>
                <c:pt idx="3">
                  <c:v>0.10039650985486549</c:v>
                </c:pt>
                <c:pt idx="4">
                  <c:v>0.10611320159809019</c:v>
                </c:pt>
                <c:pt idx="5">
                  <c:v>0.10614126505741299</c:v>
                </c:pt>
                <c:pt idx="6">
                  <c:v>0.10654343919138444</c:v>
                </c:pt>
                <c:pt idx="7">
                  <c:v>0.10699162914468663</c:v>
                </c:pt>
                <c:pt idx="8">
                  <c:v>0.1118130759006178</c:v>
                </c:pt>
                <c:pt idx="9">
                  <c:v>0.12095299380880881</c:v>
                </c:pt>
              </c:numCache>
            </c:numRef>
          </c:val>
          <c:extLst>
            <c:ext xmlns:c16="http://schemas.microsoft.com/office/drawing/2014/chart" uri="{C3380CC4-5D6E-409C-BE32-E72D297353CC}">
              <c16:uniqueId val="{00000000-4808-45DE-B9EC-0478CE47DD10}"/>
            </c:ext>
          </c:extLst>
        </c:ser>
        <c:dLbls>
          <c:showLegendKey val="0"/>
          <c:showVal val="0"/>
          <c:showCatName val="0"/>
          <c:showSerName val="0"/>
          <c:showPercent val="0"/>
          <c:showBubbleSize val="0"/>
        </c:dLbls>
        <c:gapWidth val="150"/>
        <c:shape val="box"/>
        <c:axId val="1487014911"/>
        <c:axId val="1487012511"/>
        <c:axId val="0"/>
      </c:bar3DChart>
      <c:catAx>
        <c:axId val="1487014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012511"/>
        <c:crosses val="autoZero"/>
        <c:auto val="1"/>
        <c:lblAlgn val="ctr"/>
        <c:lblOffset val="100"/>
        <c:noMultiLvlLbl val="0"/>
      </c:catAx>
      <c:valAx>
        <c:axId val="14870125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01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_task_dashpourd(2).xlsx]Pivot 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a:t>
            </a:r>
            <a:r>
              <a:rPr lang="en-US" baseline="0"/>
              <a:t> </a:t>
            </a:r>
            <a:r>
              <a:rPr lang="en-US"/>
              <a:t>Sales</a:t>
            </a:r>
            <a:r>
              <a:rPr lang="en-US" baseline="0"/>
              <a:t> of less sales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Tables'!$AQ$3</c:f>
              <c:strCache>
                <c:ptCount val="1"/>
                <c:pt idx="0">
                  <c:v>Total</c:v>
                </c:pt>
              </c:strCache>
            </c:strRef>
          </c:tx>
          <c:spPr>
            <a:solidFill>
              <a:schemeClr val="accent1"/>
            </a:solidFill>
            <a:ln>
              <a:noFill/>
            </a:ln>
            <a:effectLst/>
          </c:spPr>
          <c:invertIfNegative val="0"/>
          <c:cat>
            <c:strRef>
              <c:f>'Pivot Tables'!$AP$4:$AP$14</c:f>
              <c:strCache>
                <c:ptCount val="10"/>
                <c:pt idx="0">
                  <c:v>Spicy Special Slims</c:v>
                </c:pt>
                <c:pt idx="1">
                  <c:v>85% Dark Bars</c:v>
                </c:pt>
                <c:pt idx="2">
                  <c:v>Mint Chip Choco</c:v>
                </c:pt>
                <c:pt idx="3">
                  <c:v>Almond Choco</c:v>
                </c:pt>
                <c:pt idx="4">
                  <c:v>White Choc</c:v>
                </c:pt>
                <c:pt idx="5">
                  <c:v>99% Dark &amp; Pure</c:v>
                </c:pt>
                <c:pt idx="6">
                  <c:v>Milk Bars</c:v>
                </c:pt>
                <c:pt idx="7">
                  <c:v>Drinking Coco</c:v>
                </c:pt>
                <c:pt idx="8">
                  <c:v>Fruit &amp; Nut Bars</c:v>
                </c:pt>
                <c:pt idx="9">
                  <c:v>50% Dark Bites</c:v>
                </c:pt>
              </c:strCache>
            </c:strRef>
          </c:cat>
          <c:val>
            <c:numRef>
              <c:f>'Pivot Tables'!$AQ$4:$AQ$14</c:f>
              <c:numCache>
                <c:formatCode>#,##0</c:formatCode>
                <c:ptCount val="10"/>
                <c:pt idx="0">
                  <c:v>4230177</c:v>
                </c:pt>
                <c:pt idx="1">
                  <c:v>4900098</c:v>
                </c:pt>
                <c:pt idx="2">
                  <c:v>5980023</c:v>
                </c:pt>
                <c:pt idx="3">
                  <c:v>6420603</c:v>
                </c:pt>
                <c:pt idx="4">
                  <c:v>6449373</c:v>
                </c:pt>
                <c:pt idx="5">
                  <c:v>6681948</c:v>
                </c:pt>
                <c:pt idx="6">
                  <c:v>6986238</c:v>
                </c:pt>
                <c:pt idx="7">
                  <c:v>7484757</c:v>
                </c:pt>
                <c:pt idx="8">
                  <c:v>8347962</c:v>
                </c:pt>
                <c:pt idx="9">
                  <c:v>8874474</c:v>
                </c:pt>
              </c:numCache>
            </c:numRef>
          </c:val>
          <c:extLst>
            <c:ext xmlns:c16="http://schemas.microsoft.com/office/drawing/2014/chart" uri="{C3380CC4-5D6E-409C-BE32-E72D297353CC}">
              <c16:uniqueId val="{00000000-0122-40A5-A742-FAAC25161153}"/>
            </c:ext>
          </c:extLst>
        </c:ser>
        <c:dLbls>
          <c:showLegendKey val="0"/>
          <c:showVal val="0"/>
          <c:showCatName val="0"/>
          <c:showSerName val="0"/>
          <c:showPercent val="0"/>
          <c:showBubbleSize val="0"/>
        </c:dLbls>
        <c:gapWidth val="150"/>
        <c:overlap val="100"/>
        <c:axId val="103548896"/>
        <c:axId val="103560416"/>
      </c:barChart>
      <c:catAx>
        <c:axId val="10354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60416"/>
        <c:crosses val="autoZero"/>
        <c:auto val="1"/>
        <c:lblAlgn val="ctr"/>
        <c:lblOffset val="100"/>
        <c:noMultiLvlLbl val="0"/>
      </c:catAx>
      <c:valAx>
        <c:axId val="1035604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4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_task_dashpourd(2).xlsx]Pivot 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per less sales in each geography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Tables'!$AX$6:$AX$7</c:f>
              <c:strCache>
                <c:ptCount val="1"/>
                <c:pt idx="0">
                  <c:v>White Choc</c:v>
                </c:pt>
              </c:strCache>
            </c:strRef>
          </c:tx>
          <c:spPr>
            <a:solidFill>
              <a:schemeClr val="accent1"/>
            </a:solidFill>
            <a:ln>
              <a:noFill/>
            </a:ln>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Tables'!$AX$8:$AX$14</c:f>
              <c:numCache>
                <c:formatCode>#,##0</c:formatCode>
                <c:ptCount val="6"/>
                <c:pt idx="0">
                  <c:v>428326.5</c:v>
                </c:pt>
                <c:pt idx="1">
                  <c:v>576576</c:v>
                </c:pt>
                <c:pt idx="2">
                  <c:v>250842.375</c:v>
                </c:pt>
                <c:pt idx="3">
                  <c:v>179193</c:v>
                </c:pt>
                <c:pt idx="4">
                  <c:v>641298</c:v>
                </c:pt>
                <c:pt idx="5">
                  <c:v>182644</c:v>
                </c:pt>
              </c:numCache>
            </c:numRef>
          </c:val>
          <c:extLst>
            <c:ext xmlns:c16="http://schemas.microsoft.com/office/drawing/2014/chart" uri="{C3380CC4-5D6E-409C-BE32-E72D297353CC}">
              <c16:uniqueId val="{00000000-3F11-4906-A561-75E0A3E88EF2}"/>
            </c:ext>
          </c:extLst>
        </c:ser>
        <c:ser>
          <c:idx val="1"/>
          <c:order val="1"/>
          <c:tx>
            <c:strRef>
              <c:f>'Pivot Tables'!$AY$6:$AY$7</c:f>
              <c:strCache>
                <c:ptCount val="1"/>
                <c:pt idx="0">
                  <c:v>Spicy Special Slims</c:v>
                </c:pt>
              </c:strCache>
            </c:strRef>
          </c:tx>
          <c:spPr>
            <a:solidFill>
              <a:schemeClr val="accent2"/>
            </a:solidFill>
            <a:ln>
              <a:noFill/>
            </a:ln>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Tables'!$AY$8:$AY$14</c:f>
              <c:numCache>
                <c:formatCode>#,##0</c:formatCode>
                <c:ptCount val="6"/>
                <c:pt idx="0">
                  <c:v>44905</c:v>
                </c:pt>
                <c:pt idx="1">
                  <c:v>129276</c:v>
                </c:pt>
                <c:pt idx="2">
                  <c:v>382683</c:v>
                </c:pt>
                <c:pt idx="3">
                  <c:v>31311</c:v>
                </c:pt>
                <c:pt idx="4">
                  <c:v>1492522.5</c:v>
                </c:pt>
                <c:pt idx="5">
                  <c:v>184464</c:v>
                </c:pt>
              </c:numCache>
            </c:numRef>
          </c:val>
          <c:extLst>
            <c:ext xmlns:c16="http://schemas.microsoft.com/office/drawing/2014/chart" uri="{C3380CC4-5D6E-409C-BE32-E72D297353CC}">
              <c16:uniqueId val="{00000001-3F11-4906-A561-75E0A3E88EF2}"/>
            </c:ext>
          </c:extLst>
        </c:ser>
        <c:ser>
          <c:idx val="2"/>
          <c:order val="2"/>
          <c:tx>
            <c:strRef>
              <c:f>'Pivot Tables'!$AZ$6:$AZ$7</c:f>
              <c:strCache>
                <c:ptCount val="1"/>
                <c:pt idx="0">
                  <c:v>Organic Choco Syrup</c:v>
                </c:pt>
              </c:strCache>
            </c:strRef>
          </c:tx>
          <c:spPr>
            <a:solidFill>
              <a:schemeClr val="accent3"/>
            </a:solidFill>
            <a:ln>
              <a:noFill/>
            </a:ln>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Tables'!$AZ$8:$AZ$14</c:f>
              <c:numCache>
                <c:formatCode>#,##0</c:formatCode>
                <c:ptCount val="6"/>
                <c:pt idx="0">
                  <c:v>570276</c:v>
                </c:pt>
                <c:pt idx="1">
                  <c:v>524181</c:v>
                </c:pt>
                <c:pt idx="2">
                  <c:v>231336</c:v>
                </c:pt>
                <c:pt idx="3">
                  <c:v>958534.5</c:v>
                </c:pt>
                <c:pt idx="4">
                  <c:v>338380</c:v>
                </c:pt>
                <c:pt idx="5">
                  <c:v>444605</c:v>
                </c:pt>
              </c:numCache>
            </c:numRef>
          </c:val>
          <c:extLst>
            <c:ext xmlns:c16="http://schemas.microsoft.com/office/drawing/2014/chart" uri="{C3380CC4-5D6E-409C-BE32-E72D297353CC}">
              <c16:uniqueId val="{00000002-3F11-4906-A561-75E0A3E88EF2}"/>
            </c:ext>
          </c:extLst>
        </c:ser>
        <c:ser>
          <c:idx val="3"/>
          <c:order val="3"/>
          <c:tx>
            <c:strRef>
              <c:f>'Pivot Tables'!$BA$6:$BA$7</c:f>
              <c:strCache>
                <c:ptCount val="1"/>
                <c:pt idx="0">
                  <c:v>Mint Chip Choco</c:v>
                </c:pt>
              </c:strCache>
            </c:strRef>
          </c:tx>
          <c:spPr>
            <a:solidFill>
              <a:schemeClr val="accent4"/>
            </a:solidFill>
            <a:ln>
              <a:noFill/>
            </a:ln>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Tables'!$BA$8:$BA$14</c:f>
              <c:numCache>
                <c:formatCode>#,##0</c:formatCode>
                <c:ptCount val="6"/>
                <c:pt idx="0">
                  <c:v>1132645.5</c:v>
                </c:pt>
                <c:pt idx="1">
                  <c:v>439897.5</c:v>
                </c:pt>
                <c:pt idx="2">
                  <c:v>161574</c:v>
                </c:pt>
                <c:pt idx="3">
                  <c:v>400687</c:v>
                </c:pt>
                <c:pt idx="4">
                  <c:v>119700</c:v>
                </c:pt>
                <c:pt idx="5">
                  <c:v>267582</c:v>
                </c:pt>
              </c:numCache>
            </c:numRef>
          </c:val>
          <c:extLst>
            <c:ext xmlns:c16="http://schemas.microsoft.com/office/drawing/2014/chart" uri="{C3380CC4-5D6E-409C-BE32-E72D297353CC}">
              <c16:uniqueId val="{00000003-3F11-4906-A561-75E0A3E88EF2}"/>
            </c:ext>
          </c:extLst>
        </c:ser>
        <c:ser>
          <c:idx val="4"/>
          <c:order val="4"/>
          <c:tx>
            <c:strRef>
              <c:f>'Pivot Tables'!$BB$6:$BB$7</c:f>
              <c:strCache>
                <c:ptCount val="1"/>
                <c:pt idx="0">
                  <c:v>Milk Bars</c:v>
                </c:pt>
              </c:strCache>
            </c:strRef>
          </c:tx>
          <c:spPr>
            <a:solidFill>
              <a:schemeClr val="accent5"/>
            </a:solidFill>
            <a:ln>
              <a:noFill/>
            </a:ln>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Tables'!$BB$8:$BB$14</c:f>
              <c:numCache>
                <c:formatCode>#,##0</c:formatCode>
                <c:ptCount val="6"/>
                <c:pt idx="1">
                  <c:v>328440</c:v>
                </c:pt>
                <c:pt idx="2">
                  <c:v>464247</c:v>
                </c:pt>
                <c:pt idx="3">
                  <c:v>771741.6</c:v>
                </c:pt>
                <c:pt idx="5">
                  <c:v>13608</c:v>
                </c:pt>
              </c:numCache>
            </c:numRef>
          </c:val>
          <c:extLst>
            <c:ext xmlns:c16="http://schemas.microsoft.com/office/drawing/2014/chart" uri="{C3380CC4-5D6E-409C-BE32-E72D297353CC}">
              <c16:uniqueId val="{00000004-3F11-4906-A561-75E0A3E88EF2}"/>
            </c:ext>
          </c:extLst>
        </c:ser>
        <c:ser>
          <c:idx val="5"/>
          <c:order val="5"/>
          <c:tx>
            <c:strRef>
              <c:f>'Pivot Tables'!$BC$6:$BC$7</c:f>
              <c:strCache>
                <c:ptCount val="1"/>
                <c:pt idx="0">
                  <c:v>Fruit &amp; Nut Bars</c:v>
                </c:pt>
              </c:strCache>
            </c:strRef>
          </c:tx>
          <c:spPr>
            <a:solidFill>
              <a:schemeClr val="accent6"/>
            </a:solidFill>
            <a:ln>
              <a:noFill/>
            </a:ln>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Tables'!$BC$8:$BC$14</c:f>
              <c:numCache>
                <c:formatCode>#,##0</c:formatCode>
                <c:ptCount val="6"/>
                <c:pt idx="0">
                  <c:v>443464</c:v>
                </c:pt>
                <c:pt idx="1">
                  <c:v>157794</c:v>
                </c:pt>
                <c:pt idx="2">
                  <c:v>536917.5</c:v>
                </c:pt>
                <c:pt idx="3">
                  <c:v>518710.5</c:v>
                </c:pt>
                <c:pt idx="4">
                  <c:v>22680</c:v>
                </c:pt>
                <c:pt idx="5">
                  <c:v>526917</c:v>
                </c:pt>
              </c:numCache>
            </c:numRef>
          </c:val>
          <c:extLst>
            <c:ext xmlns:c16="http://schemas.microsoft.com/office/drawing/2014/chart" uri="{C3380CC4-5D6E-409C-BE32-E72D297353CC}">
              <c16:uniqueId val="{00000005-3F11-4906-A561-75E0A3E88EF2}"/>
            </c:ext>
          </c:extLst>
        </c:ser>
        <c:ser>
          <c:idx val="6"/>
          <c:order val="6"/>
          <c:tx>
            <c:strRef>
              <c:f>'Pivot Tables'!$BD$6:$BD$7</c:f>
              <c:strCache>
                <c:ptCount val="1"/>
                <c:pt idx="0">
                  <c:v>Eclairs</c:v>
                </c:pt>
              </c:strCache>
            </c:strRef>
          </c:tx>
          <c:spPr>
            <a:solidFill>
              <a:schemeClr val="accent1">
                <a:lumMod val="60000"/>
              </a:schemeClr>
            </a:solidFill>
            <a:ln>
              <a:noFill/>
            </a:ln>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Tables'!$BD$8:$BD$14</c:f>
              <c:numCache>
                <c:formatCode>#,##0</c:formatCode>
                <c:ptCount val="6"/>
                <c:pt idx="0">
                  <c:v>1022245</c:v>
                </c:pt>
                <c:pt idx="1">
                  <c:v>481467</c:v>
                </c:pt>
                <c:pt idx="2">
                  <c:v>21672</c:v>
                </c:pt>
                <c:pt idx="3">
                  <c:v>648788</c:v>
                </c:pt>
                <c:pt idx="4">
                  <c:v>627522</c:v>
                </c:pt>
                <c:pt idx="5">
                  <c:v>308937</c:v>
                </c:pt>
              </c:numCache>
            </c:numRef>
          </c:val>
          <c:extLst>
            <c:ext xmlns:c16="http://schemas.microsoft.com/office/drawing/2014/chart" uri="{C3380CC4-5D6E-409C-BE32-E72D297353CC}">
              <c16:uniqueId val="{00000006-3F11-4906-A561-75E0A3E88EF2}"/>
            </c:ext>
          </c:extLst>
        </c:ser>
        <c:ser>
          <c:idx val="7"/>
          <c:order val="7"/>
          <c:tx>
            <c:strRef>
              <c:f>'Pivot Tables'!$BE$6:$BE$7</c:f>
              <c:strCache>
                <c:ptCount val="1"/>
                <c:pt idx="0">
                  <c:v>Almond Choco</c:v>
                </c:pt>
              </c:strCache>
            </c:strRef>
          </c:tx>
          <c:spPr>
            <a:solidFill>
              <a:schemeClr val="accent2">
                <a:lumMod val="60000"/>
              </a:schemeClr>
            </a:solidFill>
            <a:ln>
              <a:noFill/>
            </a:ln>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Tables'!$BE$8:$BE$14</c:f>
              <c:numCache>
                <c:formatCode>#,##0</c:formatCode>
                <c:ptCount val="6"/>
                <c:pt idx="0">
                  <c:v>198460.5</c:v>
                </c:pt>
                <c:pt idx="1">
                  <c:v>229691</c:v>
                </c:pt>
                <c:pt idx="2">
                  <c:v>682139.5</c:v>
                </c:pt>
                <c:pt idx="3">
                  <c:v>608286</c:v>
                </c:pt>
                <c:pt idx="5">
                  <c:v>25200</c:v>
                </c:pt>
              </c:numCache>
            </c:numRef>
          </c:val>
          <c:extLst>
            <c:ext xmlns:c16="http://schemas.microsoft.com/office/drawing/2014/chart" uri="{C3380CC4-5D6E-409C-BE32-E72D297353CC}">
              <c16:uniqueId val="{00000007-3F11-4906-A561-75E0A3E88EF2}"/>
            </c:ext>
          </c:extLst>
        </c:ser>
        <c:ser>
          <c:idx val="8"/>
          <c:order val="8"/>
          <c:tx>
            <c:strRef>
              <c:f>'Pivot Tables'!$BF$6:$BF$7</c:f>
              <c:strCache>
                <c:ptCount val="1"/>
                <c:pt idx="0">
                  <c:v>99% Dark &amp; Pure</c:v>
                </c:pt>
              </c:strCache>
            </c:strRef>
          </c:tx>
          <c:spPr>
            <a:solidFill>
              <a:schemeClr val="accent3">
                <a:lumMod val="60000"/>
              </a:schemeClr>
            </a:solidFill>
            <a:ln>
              <a:noFill/>
            </a:ln>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Tables'!$BF$8:$BF$14</c:f>
              <c:numCache>
                <c:formatCode>#,##0</c:formatCode>
                <c:ptCount val="6"/>
                <c:pt idx="0">
                  <c:v>175707</c:v>
                </c:pt>
                <c:pt idx="1">
                  <c:v>389662</c:v>
                </c:pt>
                <c:pt idx="2">
                  <c:v>919632</c:v>
                </c:pt>
                <c:pt idx="3">
                  <c:v>417886</c:v>
                </c:pt>
                <c:pt idx="5">
                  <c:v>703137.75</c:v>
                </c:pt>
              </c:numCache>
            </c:numRef>
          </c:val>
          <c:extLst>
            <c:ext xmlns:c16="http://schemas.microsoft.com/office/drawing/2014/chart" uri="{C3380CC4-5D6E-409C-BE32-E72D297353CC}">
              <c16:uniqueId val="{00000008-3F11-4906-A561-75E0A3E88EF2}"/>
            </c:ext>
          </c:extLst>
        </c:ser>
        <c:ser>
          <c:idx val="9"/>
          <c:order val="9"/>
          <c:tx>
            <c:strRef>
              <c:f>'Pivot Tables'!$BG$6:$BG$7</c:f>
              <c:strCache>
                <c:ptCount val="1"/>
                <c:pt idx="0">
                  <c:v>85% Dark Bars</c:v>
                </c:pt>
              </c:strCache>
            </c:strRef>
          </c:tx>
          <c:spPr>
            <a:solidFill>
              <a:schemeClr val="accent4">
                <a:lumMod val="60000"/>
              </a:schemeClr>
            </a:solidFill>
            <a:ln>
              <a:noFill/>
            </a:ln>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Tables'!$BG$8:$BG$14</c:f>
              <c:numCache>
                <c:formatCode>#,##0</c:formatCode>
                <c:ptCount val="6"/>
                <c:pt idx="0">
                  <c:v>652596</c:v>
                </c:pt>
                <c:pt idx="1">
                  <c:v>198513</c:v>
                </c:pt>
                <c:pt idx="2">
                  <c:v>139996.5</c:v>
                </c:pt>
                <c:pt idx="4">
                  <c:v>631855</c:v>
                </c:pt>
                <c:pt idx="5">
                  <c:v>1674918</c:v>
                </c:pt>
              </c:numCache>
            </c:numRef>
          </c:val>
          <c:extLst>
            <c:ext xmlns:c16="http://schemas.microsoft.com/office/drawing/2014/chart" uri="{C3380CC4-5D6E-409C-BE32-E72D297353CC}">
              <c16:uniqueId val="{00000009-3F11-4906-A561-75E0A3E88EF2}"/>
            </c:ext>
          </c:extLst>
        </c:ser>
        <c:dLbls>
          <c:showLegendKey val="0"/>
          <c:showVal val="0"/>
          <c:showCatName val="0"/>
          <c:showSerName val="0"/>
          <c:showPercent val="0"/>
          <c:showBubbleSize val="0"/>
        </c:dLbls>
        <c:gapWidth val="150"/>
        <c:shape val="box"/>
        <c:axId val="1971605696"/>
        <c:axId val="1971606656"/>
        <c:axId val="0"/>
      </c:bar3DChart>
      <c:catAx>
        <c:axId val="1971605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606656"/>
        <c:crosses val="autoZero"/>
        <c:auto val="1"/>
        <c:lblAlgn val="ctr"/>
        <c:lblOffset val="100"/>
        <c:noMultiLvlLbl val="0"/>
      </c:catAx>
      <c:valAx>
        <c:axId val="1971606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60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_task_dashpourd(2).xlsx]Pivot 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unites sales per each saleman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Tables'!$BL$16:$BL$17</c:f>
              <c:strCache>
                <c:ptCount val="1"/>
                <c:pt idx="0">
                  <c:v>Spicy Special Slims</c:v>
                </c:pt>
              </c:strCache>
            </c:strRef>
          </c:tx>
          <c:spPr>
            <a:solidFill>
              <a:schemeClr val="accent1"/>
            </a:solidFill>
            <a:ln>
              <a:noFill/>
            </a:ln>
            <a:effectLst/>
            <a:sp3d/>
          </c:spPr>
          <c:invertIfNegative val="0"/>
          <c:cat>
            <c:strRef>
              <c:f>'Pivot Tables'!$BK$18:$BK$28</c:f>
              <c:strCache>
                <c:ptCount val="10"/>
                <c:pt idx="0">
                  <c:v>Abd alrahman mohamed </c:v>
                </c:pt>
                <c:pt idx="1">
                  <c:v>Ahmed said </c:v>
                </c:pt>
                <c:pt idx="2">
                  <c:v>Hassan ahmed </c:v>
                </c:pt>
                <c:pt idx="3">
                  <c:v>Hesham gamal </c:v>
                </c:pt>
                <c:pt idx="4">
                  <c:v>Husein Augar</c:v>
                </c:pt>
                <c:pt idx="5">
                  <c:v>Mohamed Ali</c:v>
                </c:pt>
                <c:pt idx="6">
                  <c:v>Mohamed galal</c:v>
                </c:pt>
                <c:pt idx="7">
                  <c:v>Rahma mostafa </c:v>
                </c:pt>
                <c:pt idx="8">
                  <c:v>Samira mostafa </c:v>
                </c:pt>
                <c:pt idx="9">
                  <c:v>Sara khaled </c:v>
                </c:pt>
              </c:strCache>
            </c:strRef>
          </c:cat>
          <c:val>
            <c:numRef>
              <c:f>'Pivot Tables'!$BL$18:$BL$28</c:f>
              <c:numCache>
                <c:formatCode>General</c:formatCode>
                <c:ptCount val="10"/>
                <c:pt idx="0">
                  <c:v>795</c:v>
                </c:pt>
                <c:pt idx="1">
                  <c:v>165</c:v>
                </c:pt>
                <c:pt idx="2">
                  <c:v>99</c:v>
                </c:pt>
                <c:pt idx="4">
                  <c:v>27</c:v>
                </c:pt>
                <c:pt idx="5">
                  <c:v>213</c:v>
                </c:pt>
                <c:pt idx="8">
                  <c:v>9</c:v>
                </c:pt>
              </c:numCache>
            </c:numRef>
          </c:val>
          <c:extLst>
            <c:ext xmlns:c16="http://schemas.microsoft.com/office/drawing/2014/chart" uri="{C3380CC4-5D6E-409C-BE32-E72D297353CC}">
              <c16:uniqueId val="{00000000-45EE-41D3-B8D7-EC3322632A9B}"/>
            </c:ext>
          </c:extLst>
        </c:ser>
        <c:ser>
          <c:idx val="1"/>
          <c:order val="1"/>
          <c:tx>
            <c:strRef>
              <c:f>'Pivot Tables'!$BM$16:$BM$17</c:f>
              <c:strCache>
                <c:ptCount val="1"/>
                <c:pt idx="0">
                  <c:v>Raspberry Choco</c:v>
                </c:pt>
              </c:strCache>
            </c:strRef>
          </c:tx>
          <c:spPr>
            <a:solidFill>
              <a:schemeClr val="accent2"/>
            </a:solidFill>
            <a:ln>
              <a:noFill/>
            </a:ln>
            <a:effectLst/>
            <a:sp3d/>
          </c:spPr>
          <c:invertIfNegative val="0"/>
          <c:cat>
            <c:strRef>
              <c:f>'Pivot Tables'!$BK$18:$BK$28</c:f>
              <c:strCache>
                <c:ptCount val="10"/>
                <c:pt idx="0">
                  <c:v>Abd alrahman mohamed </c:v>
                </c:pt>
                <c:pt idx="1">
                  <c:v>Ahmed said </c:v>
                </c:pt>
                <c:pt idx="2">
                  <c:v>Hassan ahmed </c:v>
                </c:pt>
                <c:pt idx="3">
                  <c:v>Hesham gamal </c:v>
                </c:pt>
                <c:pt idx="4">
                  <c:v>Husein Augar</c:v>
                </c:pt>
                <c:pt idx="5">
                  <c:v>Mohamed Ali</c:v>
                </c:pt>
                <c:pt idx="6">
                  <c:v>Mohamed galal</c:v>
                </c:pt>
                <c:pt idx="7">
                  <c:v>Rahma mostafa </c:v>
                </c:pt>
                <c:pt idx="8">
                  <c:v>Samira mostafa </c:v>
                </c:pt>
                <c:pt idx="9">
                  <c:v>Sara khaled </c:v>
                </c:pt>
              </c:strCache>
            </c:strRef>
          </c:cat>
          <c:val>
            <c:numRef>
              <c:f>'Pivot Tables'!$BM$18:$BM$28</c:f>
              <c:numCache>
                <c:formatCode>General</c:formatCode>
                <c:ptCount val="10"/>
                <c:pt idx="0">
                  <c:v>6</c:v>
                </c:pt>
                <c:pt idx="1">
                  <c:v>30</c:v>
                </c:pt>
                <c:pt idx="2">
                  <c:v>15</c:v>
                </c:pt>
                <c:pt idx="3">
                  <c:v>402</c:v>
                </c:pt>
                <c:pt idx="4">
                  <c:v>243</c:v>
                </c:pt>
                <c:pt idx="5">
                  <c:v>78</c:v>
                </c:pt>
                <c:pt idx="6">
                  <c:v>276</c:v>
                </c:pt>
                <c:pt idx="7">
                  <c:v>42</c:v>
                </c:pt>
                <c:pt idx="8">
                  <c:v>417</c:v>
                </c:pt>
                <c:pt idx="9">
                  <c:v>24</c:v>
                </c:pt>
              </c:numCache>
            </c:numRef>
          </c:val>
          <c:extLst>
            <c:ext xmlns:c16="http://schemas.microsoft.com/office/drawing/2014/chart" uri="{C3380CC4-5D6E-409C-BE32-E72D297353CC}">
              <c16:uniqueId val="{00000001-45EE-41D3-B8D7-EC3322632A9B}"/>
            </c:ext>
          </c:extLst>
        </c:ser>
        <c:ser>
          <c:idx val="2"/>
          <c:order val="2"/>
          <c:tx>
            <c:strRef>
              <c:f>'Pivot Tables'!$BN$16:$BN$17</c:f>
              <c:strCache>
                <c:ptCount val="1"/>
                <c:pt idx="0">
                  <c:v>Peanut Butter Cubes</c:v>
                </c:pt>
              </c:strCache>
            </c:strRef>
          </c:tx>
          <c:spPr>
            <a:solidFill>
              <a:schemeClr val="accent3"/>
            </a:solidFill>
            <a:ln>
              <a:noFill/>
            </a:ln>
            <a:effectLst/>
            <a:sp3d/>
          </c:spPr>
          <c:invertIfNegative val="0"/>
          <c:cat>
            <c:strRef>
              <c:f>'Pivot Tables'!$BK$18:$BK$28</c:f>
              <c:strCache>
                <c:ptCount val="10"/>
                <c:pt idx="0">
                  <c:v>Abd alrahman mohamed </c:v>
                </c:pt>
                <c:pt idx="1">
                  <c:v>Ahmed said </c:v>
                </c:pt>
                <c:pt idx="2">
                  <c:v>Hassan ahmed </c:v>
                </c:pt>
                <c:pt idx="3">
                  <c:v>Hesham gamal </c:v>
                </c:pt>
                <c:pt idx="4">
                  <c:v>Husein Augar</c:v>
                </c:pt>
                <c:pt idx="5">
                  <c:v>Mohamed Ali</c:v>
                </c:pt>
                <c:pt idx="6">
                  <c:v>Mohamed galal</c:v>
                </c:pt>
                <c:pt idx="7">
                  <c:v>Rahma mostafa </c:v>
                </c:pt>
                <c:pt idx="8">
                  <c:v>Samira mostafa </c:v>
                </c:pt>
                <c:pt idx="9">
                  <c:v>Sara khaled </c:v>
                </c:pt>
              </c:strCache>
            </c:strRef>
          </c:cat>
          <c:val>
            <c:numRef>
              <c:f>'Pivot Tables'!$BN$18:$BN$28</c:f>
              <c:numCache>
                <c:formatCode>General</c:formatCode>
                <c:ptCount val="10"/>
                <c:pt idx="0">
                  <c:v>30</c:v>
                </c:pt>
                <c:pt idx="1">
                  <c:v>126</c:v>
                </c:pt>
                <c:pt idx="2">
                  <c:v>135</c:v>
                </c:pt>
                <c:pt idx="3">
                  <c:v>93</c:v>
                </c:pt>
                <c:pt idx="4">
                  <c:v>87</c:v>
                </c:pt>
                <c:pt idx="5">
                  <c:v>126</c:v>
                </c:pt>
                <c:pt idx="6">
                  <c:v>306</c:v>
                </c:pt>
                <c:pt idx="7">
                  <c:v>681</c:v>
                </c:pt>
                <c:pt idx="8">
                  <c:v>174</c:v>
                </c:pt>
                <c:pt idx="9">
                  <c:v>96</c:v>
                </c:pt>
              </c:numCache>
            </c:numRef>
          </c:val>
          <c:extLst>
            <c:ext xmlns:c16="http://schemas.microsoft.com/office/drawing/2014/chart" uri="{C3380CC4-5D6E-409C-BE32-E72D297353CC}">
              <c16:uniqueId val="{00000002-45EE-41D3-B8D7-EC3322632A9B}"/>
            </c:ext>
          </c:extLst>
        </c:ser>
        <c:ser>
          <c:idx val="3"/>
          <c:order val="3"/>
          <c:tx>
            <c:strRef>
              <c:f>'Pivot Tables'!$BO$16:$BO$17</c:f>
              <c:strCache>
                <c:ptCount val="1"/>
                <c:pt idx="0">
                  <c:v>Milk Bars</c:v>
                </c:pt>
              </c:strCache>
            </c:strRef>
          </c:tx>
          <c:spPr>
            <a:solidFill>
              <a:schemeClr val="accent4"/>
            </a:solidFill>
            <a:ln>
              <a:noFill/>
            </a:ln>
            <a:effectLst/>
            <a:sp3d/>
          </c:spPr>
          <c:invertIfNegative val="0"/>
          <c:cat>
            <c:strRef>
              <c:f>'Pivot Tables'!$BK$18:$BK$28</c:f>
              <c:strCache>
                <c:ptCount val="10"/>
                <c:pt idx="0">
                  <c:v>Abd alrahman mohamed </c:v>
                </c:pt>
                <c:pt idx="1">
                  <c:v>Ahmed said </c:v>
                </c:pt>
                <c:pt idx="2">
                  <c:v>Hassan ahmed </c:v>
                </c:pt>
                <c:pt idx="3">
                  <c:v>Hesham gamal </c:v>
                </c:pt>
                <c:pt idx="4">
                  <c:v>Husein Augar</c:v>
                </c:pt>
                <c:pt idx="5">
                  <c:v>Mohamed Ali</c:v>
                </c:pt>
                <c:pt idx="6">
                  <c:v>Mohamed galal</c:v>
                </c:pt>
                <c:pt idx="7">
                  <c:v>Rahma mostafa </c:v>
                </c:pt>
                <c:pt idx="8">
                  <c:v>Samira mostafa </c:v>
                </c:pt>
                <c:pt idx="9">
                  <c:v>Sara khaled </c:v>
                </c:pt>
              </c:strCache>
            </c:strRef>
          </c:cat>
          <c:val>
            <c:numRef>
              <c:f>'Pivot Tables'!$BO$18:$BO$28</c:f>
              <c:numCache>
                <c:formatCode>General</c:formatCode>
                <c:ptCount val="10"/>
                <c:pt idx="0">
                  <c:v>198</c:v>
                </c:pt>
                <c:pt idx="1">
                  <c:v>510</c:v>
                </c:pt>
                <c:pt idx="2">
                  <c:v>153</c:v>
                </c:pt>
                <c:pt idx="3">
                  <c:v>117</c:v>
                </c:pt>
                <c:pt idx="5">
                  <c:v>105</c:v>
                </c:pt>
                <c:pt idx="7">
                  <c:v>498</c:v>
                </c:pt>
                <c:pt idx="8">
                  <c:v>300</c:v>
                </c:pt>
              </c:numCache>
            </c:numRef>
          </c:val>
          <c:extLst>
            <c:ext xmlns:c16="http://schemas.microsoft.com/office/drawing/2014/chart" uri="{C3380CC4-5D6E-409C-BE32-E72D297353CC}">
              <c16:uniqueId val="{00000003-45EE-41D3-B8D7-EC3322632A9B}"/>
            </c:ext>
          </c:extLst>
        </c:ser>
        <c:ser>
          <c:idx val="4"/>
          <c:order val="4"/>
          <c:tx>
            <c:strRef>
              <c:f>'Pivot Tables'!$BP$16:$BP$17</c:f>
              <c:strCache>
                <c:ptCount val="1"/>
                <c:pt idx="0">
                  <c:v>Drinking Coco</c:v>
                </c:pt>
              </c:strCache>
            </c:strRef>
          </c:tx>
          <c:spPr>
            <a:solidFill>
              <a:schemeClr val="accent5"/>
            </a:solidFill>
            <a:ln>
              <a:noFill/>
            </a:ln>
            <a:effectLst/>
            <a:sp3d/>
          </c:spPr>
          <c:invertIfNegative val="0"/>
          <c:cat>
            <c:strRef>
              <c:f>'Pivot Tables'!$BK$18:$BK$28</c:f>
              <c:strCache>
                <c:ptCount val="10"/>
                <c:pt idx="0">
                  <c:v>Abd alrahman mohamed </c:v>
                </c:pt>
                <c:pt idx="1">
                  <c:v>Ahmed said </c:v>
                </c:pt>
                <c:pt idx="2">
                  <c:v>Hassan ahmed </c:v>
                </c:pt>
                <c:pt idx="3">
                  <c:v>Hesham gamal </c:v>
                </c:pt>
                <c:pt idx="4">
                  <c:v>Husein Augar</c:v>
                </c:pt>
                <c:pt idx="5">
                  <c:v>Mohamed Ali</c:v>
                </c:pt>
                <c:pt idx="6">
                  <c:v>Mohamed galal</c:v>
                </c:pt>
                <c:pt idx="7">
                  <c:v>Rahma mostafa </c:v>
                </c:pt>
                <c:pt idx="8">
                  <c:v>Samira mostafa </c:v>
                </c:pt>
                <c:pt idx="9">
                  <c:v>Sara khaled </c:v>
                </c:pt>
              </c:strCache>
            </c:strRef>
          </c:cat>
          <c:val>
            <c:numRef>
              <c:f>'Pivot Tables'!$BP$18:$BP$28</c:f>
              <c:numCache>
                <c:formatCode>General</c:formatCode>
                <c:ptCount val="10"/>
                <c:pt idx="0">
                  <c:v>279</c:v>
                </c:pt>
                <c:pt idx="1">
                  <c:v>27</c:v>
                </c:pt>
                <c:pt idx="2">
                  <c:v>102</c:v>
                </c:pt>
                <c:pt idx="3">
                  <c:v>267</c:v>
                </c:pt>
                <c:pt idx="4">
                  <c:v>204</c:v>
                </c:pt>
                <c:pt idx="5">
                  <c:v>138</c:v>
                </c:pt>
                <c:pt idx="8">
                  <c:v>288</c:v>
                </c:pt>
                <c:pt idx="9">
                  <c:v>447</c:v>
                </c:pt>
              </c:numCache>
            </c:numRef>
          </c:val>
          <c:extLst>
            <c:ext xmlns:c16="http://schemas.microsoft.com/office/drawing/2014/chart" uri="{C3380CC4-5D6E-409C-BE32-E72D297353CC}">
              <c16:uniqueId val="{00000004-45EE-41D3-B8D7-EC3322632A9B}"/>
            </c:ext>
          </c:extLst>
        </c:ser>
        <c:ser>
          <c:idx val="5"/>
          <c:order val="5"/>
          <c:tx>
            <c:strRef>
              <c:f>'Pivot Tables'!$BQ$16:$BQ$17</c:f>
              <c:strCache>
                <c:ptCount val="1"/>
                <c:pt idx="0">
                  <c:v>Almond Choco</c:v>
                </c:pt>
              </c:strCache>
            </c:strRef>
          </c:tx>
          <c:spPr>
            <a:solidFill>
              <a:schemeClr val="accent6"/>
            </a:solidFill>
            <a:ln>
              <a:noFill/>
            </a:ln>
            <a:effectLst/>
            <a:sp3d/>
          </c:spPr>
          <c:invertIfNegative val="0"/>
          <c:cat>
            <c:strRef>
              <c:f>'Pivot Tables'!$BK$18:$BK$28</c:f>
              <c:strCache>
                <c:ptCount val="10"/>
                <c:pt idx="0">
                  <c:v>Abd alrahman mohamed </c:v>
                </c:pt>
                <c:pt idx="1">
                  <c:v>Ahmed said </c:v>
                </c:pt>
                <c:pt idx="2">
                  <c:v>Hassan ahmed </c:v>
                </c:pt>
                <c:pt idx="3">
                  <c:v>Hesham gamal </c:v>
                </c:pt>
                <c:pt idx="4">
                  <c:v>Husein Augar</c:v>
                </c:pt>
                <c:pt idx="5">
                  <c:v>Mohamed Ali</c:v>
                </c:pt>
                <c:pt idx="6">
                  <c:v>Mohamed galal</c:v>
                </c:pt>
                <c:pt idx="7">
                  <c:v>Rahma mostafa </c:v>
                </c:pt>
                <c:pt idx="8">
                  <c:v>Samira mostafa </c:v>
                </c:pt>
                <c:pt idx="9">
                  <c:v>Sara khaled </c:v>
                </c:pt>
              </c:strCache>
            </c:strRef>
          </c:cat>
          <c:val>
            <c:numRef>
              <c:f>'Pivot Tables'!$BQ$18:$BQ$28</c:f>
              <c:numCache>
                <c:formatCode>General</c:formatCode>
                <c:ptCount val="10"/>
                <c:pt idx="0">
                  <c:v>504</c:v>
                </c:pt>
                <c:pt idx="2">
                  <c:v>570</c:v>
                </c:pt>
                <c:pt idx="3">
                  <c:v>9</c:v>
                </c:pt>
                <c:pt idx="4">
                  <c:v>354</c:v>
                </c:pt>
                <c:pt idx="5">
                  <c:v>3</c:v>
                </c:pt>
                <c:pt idx="6">
                  <c:v>366</c:v>
                </c:pt>
                <c:pt idx="7">
                  <c:v>138</c:v>
                </c:pt>
              </c:numCache>
            </c:numRef>
          </c:val>
          <c:extLst>
            <c:ext xmlns:c16="http://schemas.microsoft.com/office/drawing/2014/chart" uri="{C3380CC4-5D6E-409C-BE32-E72D297353CC}">
              <c16:uniqueId val="{00000005-45EE-41D3-B8D7-EC3322632A9B}"/>
            </c:ext>
          </c:extLst>
        </c:ser>
        <c:ser>
          <c:idx val="6"/>
          <c:order val="6"/>
          <c:tx>
            <c:strRef>
              <c:f>'Pivot Tables'!$BR$16:$BR$17</c:f>
              <c:strCache>
                <c:ptCount val="1"/>
                <c:pt idx="0">
                  <c:v>After Nines</c:v>
                </c:pt>
              </c:strCache>
            </c:strRef>
          </c:tx>
          <c:spPr>
            <a:solidFill>
              <a:schemeClr val="accent1">
                <a:lumMod val="60000"/>
              </a:schemeClr>
            </a:solidFill>
            <a:ln>
              <a:noFill/>
            </a:ln>
            <a:effectLst/>
            <a:sp3d/>
          </c:spPr>
          <c:invertIfNegative val="0"/>
          <c:cat>
            <c:strRef>
              <c:f>'Pivot Tables'!$BK$18:$BK$28</c:f>
              <c:strCache>
                <c:ptCount val="10"/>
                <c:pt idx="0">
                  <c:v>Abd alrahman mohamed </c:v>
                </c:pt>
                <c:pt idx="1">
                  <c:v>Ahmed said </c:v>
                </c:pt>
                <c:pt idx="2">
                  <c:v>Hassan ahmed </c:v>
                </c:pt>
                <c:pt idx="3">
                  <c:v>Hesham gamal </c:v>
                </c:pt>
                <c:pt idx="4">
                  <c:v>Husein Augar</c:v>
                </c:pt>
                <c:pt idx="5">
                  <c:v>Mohamed Ali</c:v>
                </c:pt>
                <c:pt idx="6">
                  <c:v>Mohamed galal</c:v>
                </c:pt>
                <c:pt idx="7">
                  <c:v>Rahma mostafa </c:v>
                </c:pt>
                <c:pt idx="8">
                  <c:v>Samira mostafa </c:v>
                </c:pt>
                <c:pt idx="9">
                  <c:v>Sara khaled </c:v>
                </c:pt>
              </c:strCache>
            </c:strRef>
          </c:cat>
          <c:val>
            <c:numRef>
              <c:f>'Pivot Tables'!$BR$18:$BR$28</c:f>
              <c:numCache>
                <c:formatCode>General</c:formatCode>
                <c:ptCount val="10"/>
                <c:pt idx="0">
                  <c:v>165</c:v>
                </c:pt>
                <c:pt idx="1">
                  <c:v>489</c:v>
                </c:pt>
                <c:pt idx="3">
                  <c:v>477</c:v>
                </c:pt>
                <c:pt idx="5">
                  <c:v>141</c:v>
                </c:pt>
                <c:pt idx="7">
                  <c:v>384</c:v>
                </c:pt>
                <c:pt idx="8">
                  <c:v>147</c:v>
                </c:pt>
                <c:pt idx="9">
                  <c:v>249</c:v>
                </c:pt>
              </c:numCache>
            </c:numRef>
          </c:val>
          <c:extLst>
            <c:ext xmlns:c16="http://schemas.microsoft.com/office/drawing/2014/chart" uri="{C3380CC4-5D6E-409C-BE32-E72D297353CC}">
              <c16:uniqueId val="{00000006-45EE-41D3-B8D7-EC3322632A9B}"/>
            </c:ext>
          </c:extLst>
        </c:ser>
        <c:ser>
          <c:idx val="7"/>
          <c:order val="7"/>
          <c:tx>
            <c:strRef>
              <c:f>'Pivot Tables'!$BS$16:$BS$17</c:f>
              <c:strCache>
                <c:ptCount val="1"/>
                <c:pt idx="0">
                  <c:v>99% Dark &amp; Pure</c:v>
                </c:pt>
              </c:strCache>
            </c:strRef>
          </c:tx>
          <c:spPr>
            <a:solidFill>
              <a:schemeClr val="accent2">
                <a:lumMod val="60000"/>
              </a:schemeClr>
            </a:solidFill>
            <a:ln>
              <a:noFill/>
            </a:ln>
            <a:effectLst/>
            <a:sp3d/>
          </c:spPr>
          <c:invertIfNegative val="0"/>
          <c:cat>
            <c:strRef>
              <c:f>'Pivot Tables'!$BK$18:$BK$28</c:f>
              <c:strCache>
                <c:ptCount val="10"/>
                <c:pt idx="0">
                  <c:v>Abd alrahman mohamed </c:v>
                </c:pt>
                <c:pt idx="1">
                  <c:v>Ahmed said </c:v>
                </c:pt>
                <c:pt idx="2">
                  <c:v>Hassan ahmed </c:v>
                </c:pt>
                <c:pt idx="3">
                  <c:v>Hesham gamal </c:v>
                </c:pt>
                <c:pt idx="4">
                  <c:v>Husein Augar</c:v>
                </c:pt>
                <c:pt idx="5">
                  <c:v>Mohamed Ali</c:v>
                </c:pt>
                <c:pt idx="6">
                  <c:v>Mohamed galal</c:v>
                </c:pt>
                <c:pt idx="7">
                  <c:v>Rahma mostafa </c:v>
                </c:pt>
                <c:pt idx="8">
                  <c:v>Samira mostafa </c:v>
                </c:pt>
                <c:pt idx="9">
                  <c:v>Sara khaled </c:v>
                </c:pt>
              </c:strCache>
            </c:strRef>
          </c:cat>
          <c:val>
            <c:numRef>
              <c:f>'Pivot Tables'!$BS$18:$BS$28</c:f>
              <c:numCache>
                <c:formatCode>General</c:formatCode>
                <c:ptCount val="10"/>
                <c:pt idx="0">
                  <c:v>204</c:v>
                </c:pt>
                <c:pt idx="1">
                  <c:v>204</c:v>
                </c:pt>
                <c:pt idx="3">
                  <c:v>363</c:v>
                </c:pt>
                <c:pt idx="5">
                  <c:v>153</c:v>
                </c:pt>
                <c:pt idx="6">
                  <c:v>18</c:v>
                </c:pt>
                <c:pt idx="7">
                  <c:v>183</c:v>
                </c:pt>
                <c:pt idx="8">
                  <c:v>291</c:v>
                </c:pt>
                <c:pt idx="9">
                  <c:v>540</c:v>
                </c:pt>
              </c:numCache>
            </c:numRef>
          </c:val>
          <c:extLst>
            <c:ext xmlns:c16="http://schemas.microsoft.com/office/drawing/2014/chart" uri="{C3380CC4-5D6E-409C-BE32-E72D297353CC}">
              <c16:uniqueId val="{00000007-45EE-41D3-B8D7-EC3322632A9B}"/>
            </c:ext>
          </c:extLst>
        </c:ser>
        <c:ser>
          <c:idx val="8"/>
          <c:order val="8"/>
          <c:tx>
            <c:strRef>
              <c:f>'Pivot Tables'!$BT$16:$BT$17</c:f>
              <c:strCache>
                <c:ptCount val="1"/>
                <c:pt idx="0">
                  <c:v>85% Dark Bars</c:v>
                </c:pt>
              </c:strCache>
            </c:strRef>
          </c:tx>
          <c:spPr>
            <a:solidFill>
              <a:schemeClr val="accent3">
                <a:lumMod val="60000"/>
              </a:schemeClr>
            </a:solidFill>
            <a:ln>
              <a:noFill/>
            </a:ln>
            <a:effectLst/>
            <a:sp3d/>
          </c:spPr>
          <c:invertIfNegative val="0"/>
          <c:cat>
            <c:strRef>
              <c:f>'Pivot Tables'!$BK$18:$BK$28</c:f>
              <c:strCache>
                <c:ptCount val="10"/>
                <c:pt idx="0">
                  <c:v>Abd alrahman mohamed </c:v>
                </c:pt>
                <c:pt idx="1">
                  <c:v>Ahmed said </c:v>
                </c:pt>
                <c:pt idx="2">
                  <c:v>Hassan ahmed </c:v>
                </c:pt>
                <c:pt idx="3">
                  <c:v>Hesham gamal </c:v>
                </c:pt>
                <c:pt idx="4">
                  <c:v>Husein Augar</c:v>
                </c:pt>
                <c:pt idx="5">
                  <c:v>Mohamed Ali</c:v>
                </c:pt>
                <c:pt idx="6">
                  <c:v>Mohamed galal</c:v>
                </c:pt>
                <c:pt idx="7">
                  <c:v>Rahma mostafa </c:v>
                </c:pt>
                <c:pt idx="8">
                  <c:v>Samira mostafa </c:v>
                </c:pt>
                <c:pt idx="9">
                  <c:v>Sara khaled </c:v>
                </c:pt>
              </c:strCache>
            </c:strRef>
          </c:cat>
          <c:val>
            <c:numRef>
              <c:f>'Pivot Tables'!$BT$18:$BT$28</c:f>
              <c:numCache>
                <c:formatCode>General</c:formatCode>
                <c:ptCount val="10"/>
                <c:pt idx="2">
                  <c:v>3</c:v>
                </c:pt>
                <c:pt idx="3">
                  <c:v>171</c:v>
                </c:pt>
                <c:pt idx="4">
                  <c:v>366</c:v>
                </c:pt>
                <c:pt idx="7">
                  <c:v>99</c:v>
                </c:pt>
                <c:pt idx="8">
                  <c:v>102</c:v>
                </c:pt>
                <c:pt idx="9">
                  <c:v>303</c:v>
                </c:pt>
              </c:numCache>
            </c:numRef>
          </c:val>
          <c:extLst>
            <c:ext xmlns:c16="http://schemas.microsoft.com/office/drawing/2014/chart" uri="{C3380CC4-5D6E-409C-BE32-E72D297353CC}">
              <c16:uniqueId val="{00000008-45EE-41D3-B8D7-EC3322632A9B}"/>
            </c:ext>
          </c:extLst>
        </c:ser>
        <c:ser>
          <c:idx val="9"/>
          <c:order val="9"/>
          <c:tx>
            <c:strRef>
              <c:f>'Pivot Tables'!$BU$16:$BU$17</c:f>
              <c:strCache>
                <c:ptCount val="1"/>
                <c:pt idx="0">
                  <c:v>50% Dark Bites</c:v>
                </c:pt>
              </c:strCache>
            </c:strRef>
          </c:tx>
          <c:spPr>
            <a:solidFill>
              <a:schemeClr val="accent4">
                <a:lumMod val="60000"/>
              </a:schemeClr>
            </a:solidFill>
            <a:ln>
              <a:noFill/>
            </a:ln>
            <a:effectLst/>
            <a:sp3d/>
          </c:spPr>
          <c:invertIfNegative val="0"/>
          <c:cat>
            <c:strRef>
              <c:f>'Pivot Tables'!$BK$18:$BK$28</c:f>
              <c:strCache>
                <c:ptCount val="10"/>
                <c:pt idx="0">
                  <c:v>Abd alrahman mohamed </c:v>
                </c:pt>
                <c:pt idx="1">
                  <c:v>Ahmed said </c:v>
                </c:pt>
                <c:pt idx="2">
                  <c:v>Hassan ahmed </c:v>
                </c:pt>
                <c:pt idx="3">
                  <c:v>Hesham gamal </c:v>
                </c:pt>
                <c:pt idx="4">
                  <c:v>Husein Augar</c:v>
                </c:pt>
                <c:pt idx="5">
                  <c:v>Mohamed Ali</c:v>
                </c:pt>
                <c:pt idx="6">
                  <c:v>Mohamed galal</c:v>
                </c:pt>
                <c:pt idx="7">
                  <c:v>Rahma mostafa </c:v>
                </c:pt>
                <c:pt idx="8">
                  <c:v>Samira mostafa </c:v>
                </c:pt>
                <c:pt idx="9">
                  <c:v>Sara khaled </c:v>
                </c:pt>
              </c:strCache>
            </c:strRef>
          </c:cat>
          <c:val>
            <c:numRef>
              <c:f>'Pivot Tables'!$BU$18:$BU$28</c:f>
              <c:numCache>
                <c:formatCode>General</c:formatCode>
                <c:ptCount val="10"/>
                <c:pt idx="0">
                  <c:v>621</c:v>
                </c:pt>
                <c:pt idx="3">
                  <c:v>12</c:v>
                </c:pt>
                <c:pt idx="5">
                  <c:v>54</c:v>
                </c:pt>
                <c:pt idx="6">
                  <c:v>531</c:v>
                </c:pt>
                <c:pt idx="8">
                  <c:v>72</c:v>
                </c:pt>
                <c:pt idx="9">
                  <c:v>732</c:v>
                </c:pt>
              </c:numCache>
            </c:numRef>
          </c:val>
          <c:extLst>
            <c:ext xmlns:c16="http://schemas.microsoft.com/office/drawing/2014/chart" uri="{C3380CC4-5D6E-409C-BE32-E72D297353CC}">
              <c16:uniqueId val="{00000009-45EE-41D3-B8D7-EC3322632A9B}"/>
            </c:ext>
          </c:extLst>
        </c:ser>
        <c:dLbls>
          <c:showLegendKey val="0"/>
          <c:showVal val="0"/>
          <c:showCatName val="0"/>
          <c:showSerName val="0"/>
          <c:showPercent val="0"/>
          <c:showBubbleSize val="0"/>
        </c:dLbls>
        <c:gapWidth val="150"/>
        <c:shape val="box"/>
        <c:axId val="132578352"/>
        <c:axId val="132568752"/>
        <c:axId val="0"/>
      </c:bar3DChart>
      <c:catAx>
        <c:axId val="132578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8752"/>
        <c:crosses val="autoZero"/>
        <c:auto val="1"/>
        <c:lblAlgn val="ctr"/>
        <c:lblOffset val="100"/>
        <c:noMultiLvlLbl val="0"/>
      </c:catAx>
      <c:valAx>
        <c:axId val="132568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7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_task_dashpourd(2).xlsx]Pivot Tables!PivotTable13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Tables'!$CA$15:$CA$16</c:f>
              <c:strCache>
                <c:ptCount val="1"/>
                <c:pt idx="0">
                  <c:v>50% Dark Bites</c:v>
                </c:pt>
              </c:strCache>
            </c:strRef>
          </c:tx>
          <c:spPr>
            <a:solidFill>
              <a:schemeClr val="accent1"/>
            </a:solidFill>
            <a:ln>
              <a:noFill/>
            </a:ln>
            <a:effectLst/>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Tables'!$CA$17:$CA$27</c:f>
              <c:numCache>
                <c:formatCode>#,##0</c:formatCode>
                <c:ptCount val="10"/>
                <c:pt idx="1">
                  <c:v>59892</c:v>
                </c:pt>
                <c:pt idx="2">
                  <c:v>2619309</c:v>
                </c:pt>
                <c:pt idx="4">
                  <c:v>57078</c:v>
                </c:pt>
                <c:pt idx="6">
                  <c:v>2585961</c:v>
                </c:pt>
                <c:pt idx="7">
                  <c:v>3265962</c:v>
                </c:pt>
                <c:pt idx="8">
                  <c:v>286272</c:v>
                </c:pt>
              </c:numCache>
            </c:numRef>
          </c:val>
          <c:extLst>
            <c:ext xmlns:c16="http://schemas.microsoft.com/office/drawing/2014/chart" uri="{C3380CC4-5D6E-409C-BE32-E72D297353CC}">
              <c16:uniqueId val="{00000000-46FD-4E2B-93EE-CC83F5D3318C}"/>
            </c:ext>
          </c:extLst>
        </c:ser>
        <c:ser>
          <c:idx val="1"/>
          <c:order val="1"/>
          <c:tx>
            <c:strRef>
              <c:f>'Pivot Tables'!$CB$15:$CB$16</c:f>
              <c:strCache>
                <c:ptCount val="1"/>
                <c:pt idx="0">
                  <c:v>85% Dark Bars</c:v>
                </c:pt>
              </c:strCache>
            </c:strRef>
          </c:tx>
          <c:spPr>
            <a:solidFill>
              <a:schemeClr val="accent2"/>
            </a:solidFill>
            <a:ln>
              <a:noFill/>
            </a:ln>
            <a:effectLst/>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Tables'!$CB$17:$CB$27</c:f>
              <c:numCache>
                <c:formatCode>#,##0</c:formatCode>
                <c:ptCount val="10"/>
                <c:pt idx="0">
                  <c:v>1447740</c:v>
                </c:pt>
                <c:pt idx="1">
                  <c:v>687078</c:v>
                </c:pt>
                <c:pt idx="3">
                  <c:v>8967</c:v>
                </c:pt>
                <c:pt idx="5">
                  <c:v>110397</c:v>
                </c:pt>
                <c:pt idx="6">
                  <c:v>1993320</c:v>
                </c:pt>
                <c:pt idx="8">
                  <c:v>652596</c:v>
                </c:pt>
              </c:numCache>
            </c:numRef>
          </c:val>
          <c:extLst>
            <c:ext xmlns:c16="http://schemas.microsoft.com/office/drawing/2014/chart" uri="{C3380CC4-5D6E-409C-BE32-E72D297353CC}">
              <c16:uniqueId val="{00000001-46FD-4E2B-93EE-CC83F5D3318C}"/>
            </c:ext>
          </c:extLst>
        </c:ser>
        <c:ser>
          <c:idx val="2"/>
          <c:order val="2"/>
          <c:tx>
            <c:strRef>
              <c:f>'Pivot Tables'!$CC$15:$CC$16</c:f>
              <c:strCache>
                <c:ptCount val="1"/>
                <c:pt idx="0">
                  <c:v>99% Dark &amp; Pure</c:v>
                </c:pt>
              </c:strCache>
            </c:strRef>
          </c:tx>
          <c:spPr>
            <a:solidFill>
              <a:schemeClr val="accent3"/>
            </a:solidFill>
            <a:ln>
              <a:noFill/>
            </a:ln>
            <a:effectLst/>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Tables'!$CC$17:$CC$27</c:f>
              <c:numCache>
                <c:formatCode>#,##0</c:formatCode>
                <c:ptCount val="10"/>
                <c:pt idx="1">
                  <c:v>1087527</c:v>
                </c:pt>
                <c:pt idx="2">
                  <c:v>23058</c:v>
                </c:pt>
                <c:pt idx="4">
                  <c:v>913899</c:v>
                </c:pt>
                <c:pt idx="5">
                  <c:v>812469</c:v>
                </c:pt>
                <c:pt idx="6">
                  <c:v>1961400</c:v>
                </c:pt>
                <c:pt idx="7">
                  <c:v>1092420</c:v>
                </c:pt>
                <c:pt idx="8">
                  <c:v>429891</c:v>
                </c:pt>
                <c:pt idx="9">
                  <c:v>361284</c:v>
                </c:pt>
              </c:numCache>
            </c:numRef>
          </c:val>
          <c:extLst>
            <c:ext xmlns:c16="http://schemas.microsoft.com/office/drawing/2014/chart" uri="{C3380CC4-5D6E-409C-BE32-E72D297353CC}">
              <c16:uniqueId val="{00000002-46FD-4E2B-93EE-CC83F5D3318C}"/>
            </c:ext>
          </c:extLst>
        </c:ser>
        <c:ser>
          <c:idx val="3"/>
          <c:order val="3"/>
          <c:tx>
            <c:strRef>
              <c:f>'Pivot Tables'!$CD$15:$CD$16</c:f>
              <c:strCache>
                <c:ptCount val="1"/>
                <c:pt idx="0">
                  <c:v>Almond Choco</c:v>
                </c:pt>
              </c:strCache>
            </c:strRef>
          </c:tx>
          <c:spPr>
            <a:solidFill>
              <a:schemeClr val="accent4"/>
            </a:solidFill>
            <a:ln>
              <a:noFill/>
            </a:ln>
            <a:effectLst/>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Tables'!$CD$17:$CD$27</c:f>
              <c:numCache>
                <c:formatCode>#,##0</c:formatCode>
                <c:ptCount val="10"/>
                <c:pt idx="0">
                  <c:v>194586</c:v>
                </c:pt>
                <c:pt idx="1">
                  <c:v>24696</c:v>
                </c:pt>
                <c:pt idx="2">
                  <c:v>343308</c:v>
                </c:pt>
                <c:pt idx="3">
                  <c:v>1757364</c:v>
                </c:pt>
                <c:pt idx="4">
                  <c:v>10647</c:v>
                </c:pt>
                <c:pt idx="5">
                  <c:v>632562</c:v>
                </c:pt>
                <c:pt idx="7">
                  <c:v>3457440</c:v>
                </c:pt>
              </c:numCache>
            </c:numRef>
          </c:val>
          <c:extLst>
            <c:ext xmlns:c16="http://schemas.microsoft.com/office/drawing/2014/chart" uri="{C3380CC4-5D6E-409C-BE32-E72D297353CC}">
              <c16:uniqueId val="{00000003-46FD-4E2B-93EE-CC83F5D3318C}"/>
            </c:ext>
          </c:extLst>
        </c:ser>
        <c:ser>
          <c:idx val="4"/>
          <c:order val="4"/>
          <c:tx>
            <c:strRef>
              <c:f>'Pivot Tables'!$CE$15:$CE$16</c:f>
              <c:strCache>
                <c:ptCount val="1"/>
                <c:pt idx="0">
                  <c:v>Drinking Coco</c:v>
                </c:pt>
              </c:strCache>
            </c:strRef>
          </c:tx>
          <c:spPr>
            <a:solidFill>
              <a:schemeClr val="accent5"/>
            </a:solidFill>
            <a:ln>
              <a:noFill/>
            </a:ln>
            <a:effectLst/>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Tables'!$CE$17:$CE$27</c:f>
              <c:numCache>
                <c:formatCode>#,##0</c:formatCode>
                <c:ptCount val="10"/>
                <c:pt idx="0">
                  <c:v>538356</c:v>
                </c:pt>
                <c:pt idx="1">
                  <c:v>150423</c:v>
                </c:pt>
                <c:pt idx="3">
                  <c:v>153510</c:v>
                </c:pt>
                <c:pt idx="4">
                  <c:v>1596798</c:v>
                </c:pt>
                <c:pt idx="6">
                  <c:v>948402</c:v>
                </c:pt>
                <c:pt idx="7">
                  <c:v>1062432</c:v>
                </c:pt>
                <c:pt idx="8">
                  <c:v>2774016</c:v>
                </c:pt>
                <c:pt idx="9">
                  <c:v>260820</c:v>
                </c:pt>
              </c:numCache>
            </c:numRef>
          </c:val>
          <c:extLst>
            <c:ext xmlns:c16="http://schemas.microsoft.com/office/drawing/2014/chart" uri="{C3380CC4-5D6E-409C-BE32-E72D297353CC}">
              <c16:uniqueId val="{00000004-46FD-4E2B-93EE-CC83F5D3318C}"/>
            </c:ext>
          </c:extLst>
        </c:ser>
        <c:ser>
          <c:idx val="5"/>
          <c:order val="5"/>
          <c:tx>
            <c:strRef>
              <c:f>'Pivot Tables'!$CF$15:$CF$16</c:f>
              <c:strCache>
                <c:ptCount val="1"/>
                <c:pt idx="0">
                  <c:v>Fruit &amp; Nut Bars</c:v>
                </c:pt>
              </c:strCache>
            </c:strRef>
          </c:tx>
          <c:spPr>
            <a:solidFill>
              <a:schemeClr val="accent6"/>
            </a:solidFill>
            <a:ln>
              <a:noFill/>
            </a:ln>
            <a:effectLst/>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Tables'!$CF$17:$CF$27</c:f>
              <c:numCache>
                <c:formatCode>#,##0</c:formatCode>
                <c:ptCount val="10"/>
                <c:pt idx="0">
                  <c:v>988491</c:v>
                </c:pt>
                <c:pt idx="1">
                  <c:v>94710</c:v>
                </c:pt>
                <c:pt idx="2">
                  <c:v>1039143</c:v>
                </c:pt>
                <c:pt idx="3">
                  <c:v>935361</c:v>
                </c:pt>
                <c:pt idx="4">
                  <c:v>698481</c:v>
                </c:pt>
                <c:pt idx="5">
                  <c:v>208425</c:v>
                </c:pt>
                <c:pt idx="7">
                  <c:v>745227</c:v>
                </c:pt>
                <c:pt idx="8">
                  <c:v>2487240</c:v>
                </c:pt>
                <c:pt idx="9">
                  <c:v>1150884</c:v>
                </c:pt>
              </c:numCache>
            </c:numRef>
          </c:val>
          <c:extLst>
            <c:ext xmlns:c16="http://schemas.microsoft.com/office/drawing/2014/chart" uri="{C3380CC4-5D6E-409C-BE32-E72D297353CC}">
              <c16:uniqueId val="{00000005-46FD-4E2B-93EE-CC83F5D3318C}"/>
            </c:ext>
          </c:extLst>
        </c:ser>
        <c:ser>
          <c:idx val="6"/>
          <c:order val="6"/>
          <c:tx>
            <c:strRef>
              <c:f>'Pivot Tables'!$CG$15:$CG$16</c:f>
              <c:strCache>
                <c:ptCount val="1"/>
                <c:pt idx="0">
                  <c:v>Milk Bars</c:v>
                </c:pt>
              </c:strCache>
            </c:strRef>
          </c:tx>
          <c:spPr>
            <a:solidFill>
              <a:schemeClr val="accent1">
                <a:lumMod val="60000"/>
              </a:schemeClr>
            </a:solidFill>
            <a:ln>
              <a:noFill/>
            </a:ln>
            <a:effectLst/>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Tables'!$CG$17:$CG$27</c:f>
              <c:numCache>
                <c:formatCode>#,##0</c:formatCode>
                <c:ptCount val="10"/>
                <c:pt idx="1">
                  <c:v>775404</c:v>
                </c:pt>
                <c:pt idx="3">
                  <c:v>414561</c:v>
                </c:pt>
                <c:pt idx="4">
                  <c:v>16464</c:v>
                </c:pt>
                <c:pt idx="5">
                  <c:v>2573214</c:v>
                </c:pt>
                <c:pt idx="7">
                  <c:v>78624</c:v>
                </c:pt>
                <c:pt idx="8">
                  <c:v>2710281</c:v>
                </c:pt>
                <c:pt idx="9">
                  <c:v>417690</c:v>
                </c:pt>
              </c:numCache>
            </c:numRef>
          </c:val>
          <c:extLst>
            <c:ext xmlns:c16="http://schemas.microsoft.com/office/drawing/2014/chart" uri="{C3380CC4-5D6E-409C-BE32-E72D297353CC}">
              <c16:uniqueId val="{00000006-46FD-4E2B-93EE-CC83F5D3318C}"/>
            </c:ext>
          </c:extLst>
        </c:ser>
        <c:ser>
          <c:idx val="7"/>
          <c:order val="7"/>
          <c:tx>
            <c:strRef>
              <c:f>'Pivot Tables'!$CH$15:$CH$16</c:f>
              <c:strCache>
                <c:ptCount val="1"/>
                <c:pt idx="0">
                  <c:v>Mint Chip Choco</c:v>
                </c:pt>
              </c:strCache>
            </c:strRef>
          </c:tx>
          <c:spPr>
            <a:solidFill>
              <a:schemeClr val="accent2">
                <a:lumMod val="60000"/>
              </a:schemeClr>
            </a:solidFill>
            <a:ln>
              <a:noFill/>
            </a:ln>
            <a:effectLst/>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Tables'!$CH$17:$CH$27</c:f>
              <c:numCache>
                <c:formatCode>#,##0</c:formatCode>
                <c:ptCount val="10"/>
                <c:pt idx="0">
                  <c:v>494802</c:v>
                </c:pt>
                <c:pt idx="1">
                  <c:v>631176</c:v>
                </c:pt>
                <c:pt idx="2">
                  <c:v>334656</c:v>
                </c:pt>
                <c:pt idx="3">
                  <c:v>943173</c:v>
                </c:pt>
                <c:pt idx="4">
                  <c:v>475629</c:v>
                </c:pt>
                <c:pt idx="5">
                  <c:v>822150</c:v>
                </c:pt>
                <c:pt idx="6">
                  <c:v>1551816</c:v>
                </c:pt>
                <c:pt idx="8">
                  <c:v>286650</c:v>
                </c:pt>
                <c:pt idx="9">
                  <c:v>439971</c:v>
                </c:pt>
              </c:numCache>
            </c:numRef>
          </c:val>
          <c:extLst>
            <c:ext xmlns:c16="http://schemas.microsoft.com/office/drawing/2014/chart" uri="{C3380CC4-5D6E-409C-BE32-E72D297353CC}">
              <c16:uniqueId val="{00000007-46FD-4E2B-93EE-CC83F5D3318C}"/>
            </c:ext>
          </c:extLst>
        </c:ser>
        <c:ser>
          <c:idx val="8"/>
          <c:order val="8"/>
          <c:tx>
            <c:strRef>
              <c:f>'Pivot Tables'!$CI$15:$CI$16</c:f>
              <c:strCache>
                <c:ptCount val="1"/>
                <c:pt idx="0">
                  <c:v>Spicy Special Slims</c:v>
                </c:pt>
              </c:strCache>
            </c:strRef>
          </c:tx>
          <c:spPr>
            <a:solidFill>
              <a:schemeClr val="accent3">
                <a:lumMod val="60000"/>
              </a:schemeClr>
            </a:solidFill>
            <a:ln>
              <a:noFill/>
            </a:ln>
            <a:effectLst/>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Tables'!$CI$17:$CI$27</c:f>
              <c:numCache>
                <c:formatCode>#,##0</c:formatCode>
                <c:ptCount val="10"/>
                <c:pt idx="0">
                  <c:v>184464</c:v>
                </c:pt>
                <c:pt idx="3">
                  <c:v>294903</c:v>
                </c:pt>
                <c:pt idx="4">
                  <c:v>1629663</c:v>
                </c:pt>
                <c:pt idx="7">
                  <c:v>1555218</c:v>
                </c:pt>
                <c:pt idx="8">
                  <c:v>26397</c:v>
                </c:pt>
                <c:pt idx="9">
                  <c:v>539532</c:v>
                </c:pt>
              </c:numCache>
            </c:numRef>
          </c:val>
          <c:extLst>
            <c:ext xmlns:c16="http://schemas.microsoft.com/office/drawing/2014/chart" uri="{C3380CC4-5D6E-409C-BE32-E72D297353CC}">
              <c16:uniqueId val="{00000008-46FD-4E2B-93EE-CC83F5D3318C}"/>
            </c:ext>
          </c:extLst>
        </c:ser>
        <c:ser>
          <c:idx val="9"/>
          <c:order val="9"/>
          <c:tx>
            <c:strRef>
              <c:f>'Pivot Tables'!$CJ$15:$CJ$16</c:f>
              <c:strCache>
                <c:ptCount val="1"/>
                <c:pt idx="0">
                  <c:v>White Choc</c:v>
                </c:pt>
              </c:strCache>
            </c:strRef>
          </c:tx>
          <c:spPr>
            <a:solidFill>
              <a:schemeClr val="accent4">
                <a:lumMod val="60000"/>
              </a:schemeClr>
            </a:solidFill>
            <a:ln>
              <a:noFill/>
            </a:ln>
            <a:effectLst/>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Tables'!$CJ$17:$CJ$27</c:f>
              <c:numCache>
                <c:formatCode>#,##0</c:formatCode>
                <c:ptCount val="10"/>
                <c:pt idx="0">
                  <c:v>1538292</c:v>
                </c:pt>
                <c:pt idx="1">
                  <c:v>1532013</c:v>
                </c:pt>
                <c:pt idx="2">
                  <c:v>971397</c:v>
                </c:pt>
                <c:pt idx="3">
                  <c:v>904575</c:v>
                </c:pt>
                <c:pt idx="4">
                  <c:v>824670</c:v>
                </c:pt>
                <c:pt idx="5">
                  <c:v>391860</c:v>
                </c:pt>
                <c:pt idx="6">
                  <c:v>150528</c:v>
                </c:pt>
                <c:pt idx="7">
                  <c:v>132804</c:v>
                </c:pt>
                <c:pt idx="8">
                  <c:v>3234</c:v>
                </c:pt>
              </c:numCache>
            </c:numRef>
          </c:val>
          <c:extLst>
            <c:ext xmlns:c16="http://schemas.microsoft.com/office/drawing/2014/chart" uri="{C3380CC4-5D6E-409C-BE32-E72D297353CC}">
              <c16:uniqueId val="{00000009-46FD-4E2B-93EE-CC83F5D3318C}"/>
            </c:ext>
          </c:extLst>
        </c:ser>
        <c:dLbls>
          <c:showLegendKey val="0"/>
          <c:showVal val="0"/>
          <c:showCatName val="0"/>
          <c:showSerName val="0"/>
          <c:showPercent val="0"/>
          <c:showBubbleSize val="0"/>
        </c:dLbls>
        <c:gapWidth val="150"/>
        <c:shape val="box"/>
        <c:axId val="132574992"/>
        <c:axId val="132554352"/>
        <c:axId val="0"/>
      </c:bar3DChart>
      <c:catAx>
        <c:axId val="132574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54352"/>
        <c:crosses val="autoZero"/>
        <c:auto val="1"/>
        <c:lblAlgn val="ctr"/>
        <c:lblOffset val="100"/>
        <c:noMultiLvlLbl val="0"/>
      </c:catAx>
      <c:valAx>
        <c:axId val="1325543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7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_task_dashpourd(2).xlsx]Pivot Tables!PivotTable14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month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Tables'!$CP$6:$CP$7</c:f>
              <c:strCache>
                <c:ptCount val="1"/>
                <c:pt idx="0">
                  <c:v>Jan</c:v>
                </c:pt>
              </c:strCache>
            </c:strRef>
          </c:tx>
          <c:spPr>
            <a:solidFill>
              <a:schemeClr val="accent1"/>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Tables'!$CP$8:$CP$18</c:f>
              <c:numCache>
                <c:formatCode>General</c:formatCode>
                <c:ptCount val="10"/>
                <c:pt idx="0">
                  <c:v>1</c:v>
                </c:pt>
                <c:pt idx="1">
                  <c:v>2</c:v>
                </c:pt>
                <c:pt idx="2">
                  <c:v>2</c:v>
                </c:pt>
                <c:pt idx="3">
                  <c:v>1</c:v>
                </c:pt>
                <c:pt idx="4">
                  <c:v>2</c:v>
                </c:pt>
                <c:pt idx="6">
                  <c:v>3</c:v>
                </c:pt>
                <c:pt idx="7">
                  <c:v>1</c:v>
                </c:pt>
                <c:pt idx="8">
                  <c:v>1</c:v>
                </c:pt>
                <c:pt idx="9">
                  <c:v>1</c:v>
                </c:pt>
              </c:numCache>
            </c:numRef>
          </c:val>
          <c:extLst>
            <c:ext xmlns:c16="http://schemas.microsoft.com/office/drawing/2014/chart" uri="{C3380CC4-5D6E-409C-BE32-E72D297353CC}">
              <c16:uniqueId val="{00000000-F742-41C1-BDD2-BD2EF1586A86}"/>
            </c:ext>
          </c:extLst>
        </c:ser>
        <c:ser>
          <c:idx val="1"/>
          <c:order val="1"/>
          <c:tx>
            <c:strRef>
              <c:f>'Pivot Tables'!$CQ$6:$CQ$7</c:f>
              <c:strCache>
                <c:ptCount val="1"/>
                <c:pt idx="0">
                  <c:v>Feb</c:v>
                </c:pt>
              </c:strCache>
            </c:strRef>
          </c:tx>
          <c:spPr>
            <a:solidFill>
              <a:schemeClr val="accent2"/>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Tables'!$CQ$8:$CQ$18</c:f>
              <c:numCache>
                <c:formatCode>General</c:formatCode>
                <c:ptCount val="10"/>
                <c:pt idx="1">
                  <c:v>4</c:v>
                </c:pt>
                <c:pt idx="2">
                  <c:v>2</c:v>
                </c:pt>
                <c:pt idx="3">
                  <c:v>4</c:v>
                </c:pt>
                <c:pt idx="4">
                  <c:v>6</c:v>
                </c:pt>
                <c:pt idx="5">
                  <c:v>2</c:v>
                </c:pt>
                <c:pt idx="7">
                  <c:v>6</c:v>
                </c:pt>
              </c:numCache>
            </c:numRef>
          </c:val>
          <c:extLst>
            <c:ext xmlns:c16="http://schemas.microsoft.com/office/drawing/2014/chart" uri="{C3380CC4-5D6E-409C-BE32-E72D297353CC}">
              <c16:uniqueId val="{00000001-F742-41C1-BDD2-BD2EF1586A86}"/>
            </c:ext>
          </c:extLst>
        </c:ser>
        <c:ser>
          <c:idx val="2"/>
          <c:order val="2"/>
          <c:tx>
            <c:strRef>
              <c:f>'Pivot Tables'!$CR$6:$CR$7</c:f>
              <c:strCache>
                <c:ptCount val="1"/>
                <c:pt idx="0">
                  <c:v>Mar</c:v>
                </c:pt>
              </c:strCache>
            </c:strRef>
          </c:tx>
          <c:spPr>
            <a:solidFill>
              <a:schemeClr val="accent3"/>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Tables'!$CR$8:$CR$18</c:f>
              <c:numCache>
                <c:formatCode>General</c:formatCode>
                <c:ptCount val="10"/>
                <c:pt idx="0">
                  <c:v>3</c:v>
                </c:pt>
                <c:pt idx="1">
                  <c:v>3</c:v>
                </c:pt>
                <c:pt idx="2">
                  <c:v>6</c:v>
                </c:pt>
                <c:pt idx="3">
                  <c:v>9</c:v>
                </c:pt>
                <c:pt idx="4">
                  <c:v>3</c:v>
                </c:pt>
                <c:pt idx="5">
                  <c:v>3</c:v>
                </c:pt>
                <c:pt idx="6">
                  <c:v>6</c:v>
                </c:pt>
                <c:pt idx="7">
                  <c:v>3</c:v>
                </c:pt>
                <c:pt idx="9">
                  <c:v>6</c:v>
                </c:pt>
              </c:numCache>
            </c:numRef>
          </c:val>
          <c:extLst>
            <c:ext xmlns:c16="http://schemas.microsoft.com/office/drawing/2014/chart" uri="{C3380CC4-5D6E-409C-BE32-E72D297353CC}">
              <c16:uniqueId val="{00000002-F742-41C1-BDD2-BD2EF1586A86}"/>
            </c:ext>
          </c:extLst>
        </c:ser>
        <c:ser>
          <c:idx val="3"/>
          <c:order val="3"/>
          <c:tx>
            <c:strRef>
              <c:f>'Pivot Tables'!$CS$6:$CS$7</c:f>
              <c:strCache>
                <c:ptCount val="1"/>
                <c:pt idx="0">
                  <c:v>Apr</c:v>
                </c:pt>
              </c:strCache>
            </c:strRef>
          </c:tx>
          <c:spPr>
            <a:solidFill>
              <a:schemeClr val="accent4"/>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Tables'!$CS$8:$CS$18</c:f>
              <c:numCache>
                <c:formatCode>General</c:formatCode>
                <c:ptCount val="10"/>
                <c:pt idx="0">
                  <c:v>4</c:v>
                </c:pt>
                <c:pt idx="1">
                  <c:v>4</c:v>
                </c:pt>
                <c:pt idx="2">
                  <c:v>4</c:v>
                </c:pt>
                <c:pt idx="3">
                  <c:v>12</c:v>
                </c:pt>
                <c:pt idx="4">
                  <c:v>4</c:v>
                </c:pt>
                <c:pt idx="5">
                  <c:v>4</c:v>
                </c:pt>
                <c:pt idx="7">
                  <c:v>4</c:v>
                </c:pt>
                <c:pt idx="9">
                  <c:v>8</c:v>
                </c:pt>
              </c:numCache>
            </c:numRef>
          </c:val>
          <c:extLst>
            <c:ext xmlns:c16="http://schemas.microsoft.com/office/drawing/2014/chart" uri="{C3380CC4-5D6E-409C-BE32-E72D297353CC}">
              <c16:uniqueId val="{00000003-F742-41C1-BDD2-BD2EF1586A86}"/>
            </c:ext>
          </c:extLst>
        </c:ser>
        <c:ser>
          <c:idx val="4"/>
          <c:order val="4"/>
          <c:tx>
            <c:strRef>
              <c:f>'Pivot Tables'!$CT$6:$CT$7</c:f>
              <c:strCache>
                <c:ptCount val="1"/>
                <c:pt idx="0">
                  <c:v>May</c:v>
                </c:pt>
              </c:strCache>
            </c:strRef>
          </c:tx>
          <c:spPr>
            <a:solidFill>
              <a:schemeClr val="accent5"/>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Tables'!$CT$8:$CT$18</c:f>
              <c:numCache>
                <c:formatCode>General</c:formatCode>
                <c:ptCount val="10"/>
                <c:pt idx="0">
                  <c:v>20</c:v>
                </c:pt>
                <c:pt idx="1">
                  <c:v>5</c:v>
                </c:pt>
                <c:pt idx="2">
                  <c:v>5</c:v>
                </c:pt>
                <c:pt idx="4">
                  <c:v>5</c:v>
                </c:pt>
                <c:pt idx="5">
                  <c:v>10</c:v>
                </c:pt>
                <c:pt idx="7">
                  <c:v>10</c:v>
                </c:pt>
                <c:pt idx="8">
                  <c:v>5</c:v>
                </c:pt>
              </c:numCache>
            </c:numRef>
          </c:val>
          <c:extLst>
            <c:ext xmlns:c16="http://schemas.microsoft.com/office/drawing/2014/chart" uri="{C3380CC4-5D6E-409C-BE32-E72D297353CC}">
              <c16:uniqueId val="{00000004-F742-41C1-BDD2-BD2EF1586A86}"/>
            </c:ext>
          </c:extLst>
        </c:ser>
        <c:ser>
          <c:idx val="5"/>
          <c:order val="5"/>
          <c:tx>
            <c:strRef>
              <c:f>'Pivot Tables'!$CU$6:$CU$7</c:f>
              <c:strCache>
                <c:ptCount val="1"/>
                <c:pt idx="0">
                  <c:v>Jun</c:v>
                </c:pt>
              </c:strCache>
            </c:strRef>
          </c:tx>
          <c:spPr>
            <a:solidFill>
              <a:schemeClr val="accent6"/>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Tables'!$CU$8:$CU$18</c:f>
              <c:numCache>
                <c:formatCode>General</c:formatCode>
                <c:ptCount val="10"/>
                <c:pt idx="0">
                  <c:v>24</c:v>
                </c:pt>
                <c:pt idx="2">
                  <c:v>12</c:v>
                </c:pt>
                <c:pt idx="3">
                  <c:v>6</c:v>
                </c:pt>
                <c:pt idx="4">
                  <c:v>12</c:v>
                </c:pt>
                <c:pt idx="5">
                  <c:v>6</c:v>
                </c:pt>
                <c:pt idx="6">
                  <c:v>12</c:v>
                </c:pt>
                <c:pt idx="8">
                  <c:v>12</c:v>
                </c:pt>
                <c:pt idx="9">
                  <c:v>6</c:v>
                </c:pt>
              </c:numCache>
            </c:numRef>
          </c:val>
          <c:extLst>
            <c:ext xmlns:c16="http://schemas.microsoft.com/office/drawing/2014/chart" uri="{C3380CC4-5D6E-409C-BE32-E72D297353CC}">
              <c16:uniqueId val="{00000005-F742-41C1-BDD2-BD2EF1586A86}"/>
            </c:ext>
          </c:extLst>
        </c:ser>
        <c:ser>
          <c:idx val="6"/>
          <c:order val="6"/>
          <c:tx>
            <c:strRef>
              <c:f>'Pivot Tables'!$CV$6:$CV$7</c:f>
              <c:strCache>
                <c:ptCount val="1"/>
                <c:pt idx="0">
                  <c:v>Jul</c:v>
                </c:pt>
              </c:strCache>
            </c:strRef>
          </c:tx>
          <c:spPr>
            <a:solidFill>
              <a:schemeClr val="accent1">
                <a:lumMod val="60000"/>
              </a:schemeClr>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Tables'!$CV$8:$CV$18</c:f>
              <c:numCache>
                <c:formatCode>General</c:formatCode>
                <c:ptCount val="10"/>
                <c:pt idx="1">
                  <c:v>21</c:v>
                </c:pt>
                <c:pt idx="2">
                  <c:v>7</c:v>
                </c:pt>
                <c:pt idx="3">
                  <c:v>7</c:v>
                </c:pt>
                <c:pt idx="4">
                  <c:v>21</c:v>
                </c:pt>
                <c:pt idx="7">
                  <c:v>7</c:v>
                </c:pt>
                <c:pt idx="8">
                  <c:v>7</c:v>
                </c:pt>
                <c:pt idx="9">
                  <c:v>14</c:v>
                </c:pt>
              </c:numCache>
            </c:numRef>
          </c:val>
          <c:extLst>
            <c:ext xmlns:c16="http://schemas.microsoft.com/office/drawing/2014/chart" uri="{C3380CC4-5D6E-409C-BE32-E72D297353CC}">
              <c16:uniqueId val="{00000006-F742-41C1-BDD2-BD2EF1586A86}"/>
            </c:ext>
          </c:extLst>
        </c:ser>
        <c:ser>
          <c:idx val="7"/>
          <c:order val="7"/>
          <c:tx>
            <c:strRef>
              <c:f>'Pivot Tables'!$CW$6:$CW$7</c:f>
              <c:strCache>
                <c:ptCount val="1"/>
                <c:pt idx="0">
                  <c:v>Aug</c:v>
                </c:pt>
              </c:strCache>
            </c:strRef>
          </c:tx>
          <c:spPr>
            <a:solidFill>
              <a:schemeClr val="accent2">
                <a:lumMod val="60000"/>
              </a:schemeClr>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Tables'!$CW$8:$CW$18</c:f>
              <c:numCache>
                <c:formatCode>General</c:formatCode>
                <c:ptCount val="10"/>
                <c:pt idx="1">
                  <c:v>8</c:v>
                </c:pt>
                <c:pt idx="2">
                  <c:v>8</c:v>
                </c:pt>
                <c:pt idx="3">
                  <c:v>8</c:v>
                </c:pt>
                <c:pt idx="4">
                  <c:v>8</c:v>
                </c:pt>
                <c:pt idx="5">
                  <c:v>8</c:v>
                </c:pt>
                <c:pt idx="6">
                  <c:v>8</c:v>
                </c:pt>
                <c:pt idx="7">
                  <c:v>16</c:v>
                </c:pt>
                <c:pt idx="8">
                  <c:v>16</c:v>
                </c:pt>
                <c:pt idx="9">
                  <c:v>24</c:v>
                </c:pt>
              </c:numCache>
            </c:numRef>
          </c:val>
          <c:extLst>
            <c:ext xmlns:c16="http://schemas.microsoft.com/office/drawing/2014/chart" uri="{C3380CC4-5D6E-409C-BE32-E72D297353CC}">
              <c16:uniqueId val="{00000007-F742-41C1-BDD2-BD2EF1586A86}"/>
            </c:ext>
          </c:extLst>
        </c:ser>
        <c:ser>
          <c:idx val="8"/>
          <c:order val="8"/>
          <c:tx>
            <c:strRef>
              <c:f>'Pivot Tables'!$CX$6:$CX$7</c:f>
              <c:strCache>
                <c:ptCount val="1"/>
                <c:pt idx="0">
                  <c:v>Sep</c:v>
                </c:pt>
              </c:strCache>
            </c:strRef>
          </c:tx>
          <c:spPr>
            <a:solidFill>
              <a:schemeClr val="accent3">
                <a:lumMod val="60000"/>
              </a:schemeClr>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Tables'!$CX$8:$CX$18</c:f>
              <c:numCache>
                <c:formatCode>General</c:formatCode>
                <c:ptCount val="10"/>
                <c:pt idx="0">
                  <c:v>9</c:v>
                </c:pt>
                <c:pt idx="2">
                  <c:v>18</c:v>
                </c:pt>
                <c:pt idx="3">
                  <c:v>9</c:v>
                </c:pt>
                <c:pt idx="5">
                  <c:v>27</c:v>
                </c:pt>
                <c:pt idx="6">
                  <c:v>18</c:v>
                </c:pt>
                <c:pt idx="7">
                  <c:v>9</c:v>
                </c:pt>
                <c:pt idx="8">
                  <c:v>9</c:v>
                </c:pt>
              </c:numCache>
            </c:numRef>
          </c:val>
          <c:extLst>
            <c:ext xmlns:c16="http://schemas.microsoft.com/office/drawing/2014/chart" uri="{C3380CC4-5D6E-409C-BE32-E72D297353CC}">
              <c16:uniqueId val="{00000008-F742-41C1-BDD2-BD2EF1586A86}"/>
            </c:ext>
          </c:extLst>
        </c:ser>
        <c:ser>
          <c:idx val="9"/>
          <c:order val="9"/>
          <c:tx>
            <c:strRef>
              <c:f>'Pivot Tables'!$CY$6:$CY$7</c:f>
              <c:strCache>
                <c:ptCount val="1"/>
                <c:pt idx="0">
                  <c:v>Oct</c:v>
                </c:pt>
              </c:strCache>
            </c:strRef>
          </c:tx>
          <c:spPr>
            <a:solidFill>
              <a:schemeClr val="accent4">
                <a:lumMod val="60000"/>
              </a:schemeClr>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Tables'!$CY$8:$CY$18</c:f>
              <c:numCache>
                <c:formatCode>General</c:formatCode>
                <c:ptCount val="10"/>
                <c:pt idx="0">
                  <c:v>10</c:v>
                </c:pt>
                <c:pt idx="3">
                  <c:v>10</c:v>
                </c:pt>
                <c:pt idx="4">
                  <c:v>10</c:v>
                </c:pt>
                <c:pt idx="8">
                  <c:v>10</c:v>
                </c:pt>
              </c:numCache>
            </c:numRef>
          </c:val>
          <c:extLst>
            <c:ext xmlns:c16="http://schemas.microsoft.com/office/drawing/2014/chart" uri="{C3380CC4-5D6E-409C-BE32-E72D297353CC}">
              <c16:uniqueId val="{00000009-F742-41C1-BDD2-BD2EF1586A86}"/>
            </c:ext>
          </c:extLst>
        </c:ser>
        <c:ser>
          <c:idx val="10"/>
          <c:order val="10"/>
          <c:tx>
            <c:strRef>
              <c:f>'Pivot Tables'!$CZ$6:$CZ$7</c:f>
              <c:strCache>
                <c:ptCount val="1"/>
                <c:pt idx="0">
                  <c:v>Nov</c:v>
                </c:pt>
              </c:strCache>
            </c:strRef>
          </c:tx>
          <c:spPr>
            <a:solidFill>
              <a:schemeClr val="accent5">
                <a:lumMod val="60000"/>
              </a:schemeClr>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Tables'!$CZ$8:$CZ$18</c:f>
              <c:numCache>
                <c:formatCode>General</c:formatCode>
                <c:ptCount val="10"/>
              </c:numCache>
            </c:numRef>
          </c:val>
          <c:extLst>
            <c:ext xmlns:c16="http://schemas.microsoft.com/office/drawing/2014/chart" uri="{C3380CC4-5D6E-409C-BE32-E72D297353CC}">
              <c16:uniqueId val="{0000000A-F742-41C1-BDD2-BD2EF1586A86}"/>
            </c:ext>
          </c:extLst>
        </c:ser>
        <c:dLbls>
          <c:showLegendKey val="0"/>
          <c:showVal val="0"/>
          <c:showCatName val="0"/>
          <c:showSerName val="0"/>
          <c:showPercent val="0"/>
          <c:showBubbleSize val="0"/>
        </c:dLbls>
        <c:gapWidth val="182"/>
        <c:axId val="132589872"/>
        <c:axId val="132589392"/>
      </c:barChart>
      <c:catAx>
        <c:axId val="13258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89392"/>
        <c:crosses val="autoZero"/>
        <c:auto val="1"/>
        <c:lblAlgn val="ctr"/>
        <c:lblOffset val="100"/>
        <c:noMultiLvlLbl val="0"/>
      </c:catAx>
      <c:valAx>
        <c:axId val="132589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8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_task_dashpourd(2).xlsx]Pivot Tables!PivotTable17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Spicy Special Slims per</a:t>
            </a:r>
            <a:r>
              <a:rPr lang="en-US" baseline="0"/>
              <a:t> month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Tables'!$DG$18:$DG$19</c:f>
              <c:strCache>
                <c:ptCount val="1"/>
                <c:pt idx="0">
                  <c:v>Spicy Special Slims</c:v>
                </c:pt>
              </c:strCache>
            </c:strRef>
          </c:tx>
          <c:spPr>
            <a:ln w="28575" cap="rnd">
              <a:solidFill>
                <a:schemeClr val="accent1"/>
              </a:solidFill>
              <a:round/>
            </a:ln>
            <a:effectLst/>
          </c:spPr>
          <c:marker>
            <c:symbol val="none"/>
          </c:marker>
          <c:cat>
            <c:strRef>
              <c:f>'Pivot Tables'!$DF$20:$DF$31</c:f>
              <c:strCache>
                <c:ptCount val="11"/>
                <c:pt idx="0">
                  <c:v>Oct</c:v>
                </c:pt>
                <c:pt idx="1">
                  <c:v>Nov</c:v>
                </c:pt>
                <c:pt idx="2">
                  <c:v>Jul</c:v>
                </c:pt>
                <c:pt idx="3">
                  <c:v>Jan</c:v>
                </c:pt>
                <c:pt idx="4">
                  <c:v>Apr</c:v>
                </c:pt>
                <c:pt idx="5">
                  <c:v>Feb</c:v>
                </c:pt>
                <c:pt idx="6">
                  <c:v>Mar</c:v>
                </c:pt>
                <c:pt idx="7">
                  <c:v>May</c:v>
                </c:pt>
                <c:pt idx="8">
                  <c:v>Sep</c:v>
                </c:pt>
                <c:pt idx="9">
                  <c:v>Aug</c:v>
                </c:pt>
                <c:pt idx="10">
                  <c:v>Jun</c:v>
                </c:pt>
              </c:strCache>
            </c:strRef>
          </c:cat>
          <c:val>
            <c:numRef>
              <c:f>'Pivot Tables'!$DG$20:$DG$31</c:f>
              <c:numCache>
                <c:formatCode>#,##0</c:formatCode>
                <c:ptCount val="11"/>
                <c:pt idx="4">
                  <c:v>26397</c:v>
                </c:pt>
                <c:pt idx="5">
                  <c:v>31311</c:v>
                </c:pt>
                <c:pt idx="6">
                  <c:v>129276</c:v>
                </c:pt>
                <c:pt idx="7">
                  <c:v>448056</c:v>
                </c:pt>
                <c:pt idx="8">
                  <c:v>610092</c:v>
                </c:pt>
                <c:pt idx="9">
                  <c:v>1355382</c:v>
                </c:pt>
                <c:pt idx="10">
                  <c:v>1629663</c:v>
                </c:pt>
              </c:numCache>
            </c:numRef>
          </c:val>
          <c:smooth val="0"/>
          <c:extLst>
            <c:ext xmlns:c16="http://schemas.microsoft.com/office/drawing/2014/chart" uri="{C3380CC4-5D6E-409C-BE32-E72D297353CC}">
              <c16:uniqueId val="{00000000-F216-4AC4-8681-499B0CDA5211}"/>
            </c:ext>
          </c:extLst>
        </c:ser>
        <c:dLbls>
          <c:showLegendKey val="0"/>
          <c:showVal val="0"/>
          <c:showCatName val="0"/>
          <c:showSerName val="0"/>
          <c:showPercent val="0"/>
          <c:showBubbleSize val="0"/>
        </c:dLbls>
        <c:smooth val="0"/>
        <c:axId val="198717888"/>
        <c:axId val="198711168"/>
      </c:lineChart>
      <c:catAx>
        <c:axId val="19871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11168"/>
        <c:crosses val="autoZero"/>
        <c:auto val="1"/>
        <c:lblAlgn val="ctr"/>
        <c:lblOffset val="100"/>
        <c:noMultiLvlLbl val="0"/>
      </c:catAx>
      <c:valAx>
        <c:axId val="1987111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1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_task_dashpourd(2).xlsx]Pivot Tables!PivotTable14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Total Sales per</a:t>
            </a:r>
            <a:r>
              <a:rPr lang="ar-EG" sz="1400" b="0" i="0" u="none" strike="noStrike" kern="1200" spc="0" baseline="0">
                <a:solidFill>
                  <a:sysClr val="windowText" lastClr="000000">
                    <a:lumMod val="65000"/>
                    <a:lumOff val="35000"/>
                  </a:sysClr>
                </a:solidFill>
              </a:rPr>
              <a:t> </a:t>
            </a:r>
            <a:r>
              <a:rPr lang="en-US" sz="1400" b="0" i="0" u="none" strike="noStrike" kern="1200" spc="0" baseline="0">
                <a:solidFill>
                  <a:sysClr val="windowText" lastClr="000000">
                    <a:lumMod val="65000"/>
                    <a:lumOff val="35000"/>
                  </a:sysClr>
                </a:solidFill>
              </a:rPr>
              <a:t>each product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Tables'!$CP$6:$CP$7</c:f>
              <c:strCache>
                <c:ptCount val="1"/>
                <c:pt idx="0">
                  <c:v>Jan</c:v>
                </c:pt>
              </c:strCache>
            </c:strRef>
          </c:tx>
          <c:spPr>
            <a:solidFill>
              <a:schemeClr val="accent1"/>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Tables'!$CP$8:$CP$18</c:f>
              <c:numCache>
                <c:formatCode>General</c:formatCode>
                <c:ptCount val="10"/>
                <c:pt idx="0">
                  <c:v>1</c:v>
                </c:pt>
                <c:pt idx="1">
                  <c:v>2</c:v>
                </c:pt>
                <c:pt idx="2">
                  <c:v>2</c:v>
                </c:pt>
                <c:pt idx="3">
                  <c:v>1</c:v>
                </c:pt>
                <c:pt idx="4">
                  <c:v>2</c:v>
                </c:pt>
                <c:pt idx="6">
                  <c:v>3</c:v>
                </c:pt>
                <c:pt idx="7">
                  <c:v>1</c:v>
                </c:pt>
                <c:pt idx="8">
                  <c:v>1</c:v>
                </c:pt>
                <c:pt idx="9">
                  <c:v>1</c:v>
                </c:pt>
              </c:numCache>
            </c:numRef>
          </c:val>
          <c:extLst>
            <c:ext xmlns:c16="http://schemas.microsoft.com/office/drawing/2014/chart" uri="{C3380CC4-5D6E-409C-BE32-E72D297353CC}">
              <c16:uniqueId val="{00000000-707D-45E1-8787-81CB7AE446F2}"/>
            </c:ext>
          </c:extLst>
        </c:ser>
        <c:ser>
          <c:idx val="1"/>
          <c:order val="1"/>
          <c:tx>
            <c:strRef>
              <c:f>'Pivot Tables'!$CQ$6:$CQ$7</c:f>
              <c:strCache>
                <c:ptCount val="1"/>
                <c:pt idx="0">
                  <c:v>Feb</c:v>
                </c:pt>
              </c:strCache>
            </c:strRef>
          </c:tx>
          <c:spPr>
            <a:solidFill>
              <a:schemeClr val="accent2"/>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Tables'!$CQ$8:$CQ$18</c:f>
              <c:numCache>
                <c:formatCode>General</c:formatCode>
                <c:ptCount val="10"/>
                <c:pt idx="1">
                  <c:v>4</c:v>
                </c:pt>
                <c:pt idx="2">
                  <c:v>2</c:v>
                </c:pt>
                <c:pt idx="3">
                  <c:v>4</c:v>
                </c:pt>
                <c:pt idx="4">
                  <c:v>6</c:v>
                </c:pt>
                <c:pt idx="5">
                  <c:v>2</c:v>
                </c:pt>
                <c:pt idx="7">
                  <c:v>6</c:v>
                </c:pt>
              </c:numCache>
            </c:numRef>
          </c:val>
          <c:extLst>
            <c:ext xmlns:c16="http://schemas.microsoft.com/office/drawing/2014/chart" uri="{C3380CC4-5D6E-409C-BE32-E72D297353CC}">
              <c16:uniqueId val="{00000001-707D-45E1-8787-81CB7AE446F2}"/>
            </c:ext>
          </c:extLst>
        </c:ser>
        <c:ser>
          <c:idx val="2"/>
          <c:order val="2"/>
          <c:tx>
            <c:strRef>
              <c:f>'Pivot Tables'!$CR$6:$CR$7</c:f>
              <c:strCache>
                <c:ptCount val="1"/>
                <c:pt idx="0">
                  <c:v>Mar</c:v>
                </c:pt>
              </c:strCache>
            </c:strRef>
          </c:tx>
          <c:spPr>
            <a:solidFill>
              <a:schemeClr val="accent3"/>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Tables'!$CR$8:$CR$18</c:f>
              <c:numCache>
                <c:formatCode>General</c:formatCode>
                <c:ptCount val="10"/>
                <c:pt idx="0">
                  <c:v>3</c:v>
                </c:pt>
                <c:pt idx="1">
                  <c:v>3</c:v>
                </c:pt>
                <c:pt idx="2">
                  <c:v>6</c:v>
                </c:pt>
                <c:pt idx="3">
                  <c:v>9</c:v>
                </c:pt>
                <c:pt idx="4">
                  <c:v>3</c:v>
                </c:pt>
                <c:pt idx="5">
                  <c:v>3</c:v>
                </c:pt>
                <c:pt idx="6">
                  <c:v>6</c:v>
                </c:pt>
                <c:pt idx="7">
                  <c:v>3</c:v>
                </c:pt>
                <c:pt idx="9">
                  <c:v>6</c:v>
                </c:pt>
              </c:numCache>
            </c:numRef>
          </c:val>
          <c:extLst>
            <c:ext xmlns:c16="http://schemas.microsoft.com/office/drawing/2014/chart" uri="{C3380CC4-5D6E-409C-BE32-E72D297353CC}">
              <c16:uniqueId val="{00000002-707D-45E1-8787-81CB7AE446F2}"/>
            </c:ext>
          </c:extLst>
        </c:ser>
        <c:ser>
          <c:idx val="3"/>
          <c:order val="3"/>
          <c:tx>
            <c:strRef>
              <c:f>'Pivot Tables'!$CS$6:$CS$7</c:f>
              <c:strCache>
                <c:ptCount val="1"/>
                <c:pt idx="0">
                  <c:v>Apr</c:v>
                </c:pt>
              </c:strCache>
            </c:strRef>
          </c:tx>
          <c:spPr>
            <a:solidFill>
              <a:schemeClr val="accent4"/>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Tables'!$CS$8:$CS$18</c:f>
              <c:numCache>
                <c:formatCode>General</c:formatCode>
                <c:ptCount val="10"/>
                <c:pt idx="0">
                  <c:v>4</c:v>
                </c:pt>
                <c:pt idx="1">
                  <c:v>4</c:v>
                </c:pt>
                <c:pt idx="2">
                  <c:v>4</c:v>
                </c:pt>
                <c:pt idx="3">
                  <c:v>12</c:v>
                </c:pt>
                <c:pt idx="4">
                  <c:v>4</c:v>
                </c:pt>
                <c:pt idx="5">
                  <c:v>4</c:v>
                </c:pt>
                <c:pt idx="7">
                  <c:v>4</c:v>
                </c:pt>
                <c:pt idx="9">
                  <c:v>8</c:v>
                </c:pt>
              </c:numCache>
            </c:numRef>
          </c:val>
          <c:extLst>
            <c:ext xmlns:c16="http://schemas.microsoft.com/office/drawing/2014/chart" uri="{C3380CC4-5D6E-409C-BE32-E72D297353CC}">
              <c16:uniqueId val="{00000003-707D-45E1-8787-81CB7AE446F2}"/>
            </c:ext>
          </c:extLst>
        </c:ser>
        <c:ser>
          <c:idx val="4"/>
          <c:order val="4"/>
          <c:tx>
            <c:strRef>
              <c:f>'Pivot Tables'!$CT$6:$CT$7</c:f>
              <c:strCache>
                <c:ptCount val="1"/>
                <c:pt idx="0">
                  <c:v>May</c:v>
                </c:pt>
              </c:strCache>
            </c:strRef>
          </c:tx>
          <c:spPr>
            <a:solidFill>
              <a:schemeClr val="accent5"/>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Tables'!$CT$8:$CT$18</c:f>
              <c:numCache>
                <c:formatCode>General</c:formatCode>
                <c:ptCount val="10"/>
                <c:pt idx="0">
                  <c:v>20</c:v>
                </c:pt>
                <c:pt idx="1">
                  <c:v>5</c:v>
                </c:pt>
                <c:pt idx="2">
                  <c:v>5</c:v>
                </c:pt>
                <c:pt idx="4">
                  <c:v>5</c:v>
                </c:pt>
                <c:pt idx="5">
                  <c:v>10</c:v>
                </c:pt>
                <c:pt idx="7">
                  <c:v>10</c:v>
                </c:pt>
                <c:pt idx="8">
                  <c:v>5</c:v>
                </c:pt>
              </c:numCache>
            </c:numRef>
          </c:val>
          <c:extLst>
            <c:ext xmlns:c16="http://schemas.microsoft.com/office/drawing/2014/chart" uri="{C3380CC4-5D6E-409C-BE32-E72D297353CC}">
              <c16:uniqueId val="{00000004-707D-45E1-8787-81CB7AE446F2}"/>
            </c:ext>
          </c:extLst>
        </c:ser>
        <c:ser>
          <c:idx val="5"/>
          <c:order val="5"/>
          <c:tx>
            <c:strRef>
              <c:f>'Pivot Tables'!$CU$6:$CU$7</c:f>
              <c:strCache>
                <c:ptCount val="1"/>
                <c:pt idx="0">
                  <c:v>Jun</c:v>
                </c:pt>
              </c:strCache>
            </c:strRef>
          </c:tx>
          <c:spPr>
            <a:solidFill>
              <a:schemeClr val="accent6"/>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Tables'!$CU$8:$CU$18</c:f>
              <c:numCache>
                <c:formatCode>General</c:formatCode>
                <c:ptCount val="10"/>
                <c:pt idx="0">
                  <c:v>24</c:v>
                </c:pt>
                <c:pt idx="2">
                  <c:v>12</c:v>
                </c:pt>
                <c:pt idx="3">
                  <c:v>6</c:v>
                </c:pt>
                <c:pt idx="4">
                  <c:v>12</c:v>
                </c:pt>
                <c:pt idx="5">
                  <c:v>6</c:v>
                </c:pt>
                <c:pt idx="6">
                  <c:v>12</c:v>
                </c:pt>
                <c:pt idx="8">
                  <c:v>12</c:v>
                </c:pt>
                <c:pt idx="9">
                  <c:v>6</c:v>
                </c:pt>
              </c:numCache>
            </c:numRef>
          </c:val>
          <c:extLst>
            <c:ext xmlns:c16="http://schemas.microsoft.com/office/drawing/2014/chart" uri="{C3380CC4-5D6E-409C-BE32-E72D297353CC}">
              <c16:uniqueId val="{00000005-707D-45E1-8787-81CB7AE446F2}"/>
            </c:ext>
          </c:extLst>
        </c:ser>
        <c:ser>
          <c:idx val="6"/>
          <c:order val="6"/>
          <c:tx>
            <c:strRef>
              <c:f>'Pivot Tables'!$CV$6:$CV$7</c:f>
              <c:strCache>
                <c:ptCount val="1"/>
                <c:pt idx="0">
                  <c:v>Jul</c:v>
                </c:pt>
              </c:strCache>
            </c:strRef>
          </c:tx>
          <c:spPr>
            <a:solidFill>
              <a:schemeClr val="accent1">
                <a:lumMod val="60000"/>
              </a:schemeClr>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Tables'!$CV$8:$CV$18</c:f>
              <c:numCache>
                <c:formatCode>General</c:formatCode>
                <c:ptCount val="10"/>
                <c:pt idx="1">
                  <c:v>21</c:v>
                </c:pt>
                <c:pt idx="2">
                  <c:v>7</c:v>
                </c:pt>
                <c:pt idx="3">
                  <c:v>7</c:v>
                </c:pt>
                <c:pt idx="4">
                  <c:v>21</c:v>
                </c:pt>
                <c:pt idx="7">
                  <c:v>7</c:v>
                </c:pt>
                <c:pt idx="8">
                  <c:v>7</c:v>
                </c:pt>
                <c:pt idx="9">
                  <c:v>14</c:v>
                </c:pt>
              </c:numCache>
            </c:numRef>
          </c:val>
          <c:extLst>
            <c:ext xmlns:c16="http://schemas.microsoft.com/office/drawing/2014/chart" uri="{C3380CC4-5D6E-409C-BE32-E72D297353CC}">
              <c16:uniqueId val="{00000006-707D-45E1-8787-81CB7AE446F2}"/>
            </c:ext>
          </c:extLst>
        </c:ser>
        <c:ser>
          <c:idx val="7"/>
          <c:order val="7"/>
          <c:tx>
            <c:strRef>
              <c:f>'Pivot Tables'!$CW$6:$CW$7</c:f>
              <c:strCache>
                <c:ptCount val="1"/>
                <c:pt idx="0">
                  <c:v>Aug</c:v>
                </c:pt>
              </c:strCache>
            </c:strRef>
          </c:tx>
          <c:spPr>
            <a:solidFill>
              <a:schemeClr val="accent2">
                <a:lumMod val="60000"/>
              </a:schemeClr>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Tables'!$CW$8:$CW$18</c:f>
              <c:numCache>
                <c:formatCode>General</c:formatCode>
                <c:ptCount val="10"/>
                <c:pt idx="1">
                  <c:v>8</c:v>
                </c:pt>
                <c:pt idx="2">
                  <c:v>8</c:v>
                </c:pt>
                <c:pt idx="3">
                  <c:v>8</c:v>
                </c:pt>
                <c:pt idx="4">
                  <c:v>8</c:v>
                </c:pt>
                <c:pt idx="5">
                  <c:v>8</c:v>
                </c:pt>
                <c:pt idx="6">
                  <c:v>8</c:v>
                </c:pt>
                <c:pt idx="7">
                  <c:v>16</c:v>
                </c:pt>
                <c:pt idx="8">
                  <c:v>16</c:v>
                </c:pt>
                <c:pt idx="9">
                  <c:v>24</c:v>
                </c:pt>
              </c:numCache>
            </c:numRef>
          </c:val>
          <c:extLst>
            <c:ext xmlns:c16="http://schemas.microsoft.com/office/drawing/2014/chart" uri="{C3380CC4-5D6E-409C-BE32-E72D297353CC}">
              <c16:uniqueId val="{00000007-707D-45E1-8787-81CB7AE446F2}"/>
            </c:ext>
          </c:extLst>
        </c:ser>
        <c:ser>
          <c:idx val="8"/>
          <c:order val="8"/>
          <c:tx>
            <c:strRef>
              <c:f>'Pivot Tables'!$CX$6:$CX$7</c:f>
              <c:strCache>
                <c:ptCount val="1"/>
                <c:pt idx="0">
                  <c:v>Sep</c:v>
                </c:pt>
              </c:strCache>
            </c:strRef>
          </c:tx>
          <c:spPr>
            <a:solidFill>
              <a:schemeClr val="accent3">
                <a:lumMod val="60000"/>
              </a:schemeClr>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Tables'!$CX$8:$CX$18</c:f>
              <c:numCache>
                <c:formatCode>General</c:formatCode>
                <c:ptCount val="10"/>
                <c:pt idx="0">
                  <c:v>9</c:v>
                </c:pt>
                <c:pt idx="2">
                  <c:v>18</c:v>
                </c:pt>
                <c:pt idx="3">
                  <c:v>9</c:v>
                </c:pt>
                <c:pt idx="5">
                  <c:v>27</c:v>
                </c:pt>
                <c:pt idx="6">
                  <c:v>18</c:v>
                </c:pt>
                <c:pt idx="7">
                  <c:v>9</c:v>
                </c:pt>
                <c:pt idx="8">
                  <c:v>9</c:v>
                </c:pt>
              </c:numCache>
            </c:numRef>
          </c:val>
          <c:extLst>
            <c:ext xmlns:c16="http://schemas.microsoft.com/office/drawing/2014/chart" uri="{C3380CC4-5D6E-409C-BE32-E72D297353CC}">
              <c16:uniqueId val="{00000008-707D-45E1-8787-81CB7AE446F2}"/>
            </c:ext>
          </c:extLst>
        </c:ser>
        <c:ser>
          <c:idx val="9"/>
          <c:order val="9"/>
          <c:tx>
            <c:strRef>
              <c:f>'Pivot Tables'!$CY$6:$CY$7</c:f>
              <c:strCache>
                <c:ptCount val="1"/>
                <c:pt idx="0">
                  <c:v>Oct</c:v>
                </c:pt>
              </c:strCache>
            </c:strRef>
          </c:tx>
          <c:spPr>
            <a:solidFill>
              <a:schemeClr val="accent4">
                <a:lumMod val="60000"/>
              </a:schemeClr>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Tables'!$CY$8:$CY$18</c:f>
              <c:numCache>
                <c:formatCode>General</c:formatCode>
                <c:ptCount val="10"/>
                <c:pt idx="0">
                  <c:v>10</c:v>
                </c:pt>
                <c:pt idx="3">
                  <c:v>10</c:v>
                </c:pt>
                <c:pt idx="4">
                  <c:v>10</c:v>
                </c:pt>
                <c:pt idx="8">
                  <c:v>10</c:v>
                </c:pt>
              </c:numCache>
            </c:numRef>
          </c:val>
          <c:extLst>
            <c:ext xmlns:c16="http://schemas.microsoft.com/office/drawing/2014/chart" uri="{C3380CC4-5D6E-409C-BE32-E72D297353CC}">
              <c16:uniqueId val="{00000009-707D-45E1-8787-81CB7AE446F2}"/>
            </c:ext>
          </c:extLst>
        </c:ser>
        <c:ser>
          <c:idx val="10"/>
          <c:order val="10"/>
          <c:tx>
            <c:strRef>
              <c:f>'Pivot Tables'!$CZ$6:$CZ$7</c:f>
              <c:strCache>
                <c:ptCount val="1"/>
                <c:pt idx="0">
                  <c:v>Nov</c:v>
                </c:pt>
              </c:strCache>
            </c:strRef>
          </c:tx>
          <c:spPr>
            <a:solidFill>
              <a:schemeClr val="accent5">
                <a:lumMod val="60000"/>
              </a:schemeClr>
            </a:solidFill>
            <a:ln>
              <a:noFill/>
            </a:ln>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Tables'!$CZ$8:$CZ$18</c:f>
              <c:numCache>
                <c:formatCode>General</c:formatCode>
                <c:ptCount val="10"/>
              </c:numCache>
            </c:numRef>
          </c:val>
          <c:extLst>
            <c:ext xmlns:c16="http://schemas.microsoft.com/office/drawing/2014/chart" uri="{C3380CC4-5D6E-409C-BE32-E72D297353CC}">
              <c16:uniqueId val="{0000000A-707D-45E1-8787-81CB7AE446F2}"/>
            </c:ext>
          </c:extLst>
        </c:ser>
        <c:dLbls>
          <c:showLegendKey val="0"/>
          <c:showVal val="0"/>
          <c:showCatName val="0"/>
          <c:showSerName val="0"/>
          <c:showPercent val="0"/>
          <c:showBubbleSize val="0"/>
        </c:dLbls>
        <c:gapWidth val="219"/>
        <c:overlap val="-27"/>
        <c:axId val="777058416"/>
        <c:axId val="777059376"/>
      </c:barChart>
      <c:catAx>
        <c:axId val="77705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059376"/>
        <c:crosses val="autoZero"/>
        <c:auto val="1"/>
        <c:lblAlgn val="ctr"/>
        <c:lblOffset val="100"/>
        <c:noMultiLvlLbl val="0"/>
      </c:catAx>
      <c:valAx>
        <c:axId val="777059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05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_task_dashpourd(2).xlsx]Pivot Tables!PivotTable4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656361630685491E-2"/>
          <c:y val="2.4657776363813111E-2"/>
          <c:w val="0.89050657205398731"/>
          <c:h val="0.84647242327032357"/>
        </c:manualLayout>
      </c:layout>
      <c:lineChart>
        <c:grouping val="standard"/>
        <c:varyColors val="0"/>
        <c:ser>
          <c:idx val="0"/>
          <c:order val="0"/>
          <c:tx>
            <c:strRef>
              <c:f>'Pivot Tables'!$P$3</c:f>
              <c:strCache>
                <c:ptCount val="1"/>
                <c:pt idx="0">
                  <c:v>Total</c:v>
                </c:pt>
              </c:strCache>
            </c:strRef>
          </c:tx>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cat>
            <c:strRef>
              <c:f>'Pivot Tables'!$O$4:$O$15</c:f>
              <c:strCache>
                <c:ptCount val="11"/>
                <c:pt idx="0">
                  <c:v>Jan</c:v>
                </c:pt>
                <c:pt idx="1">
                  <c:v>Jun</c:v>
                </c:pt>
                <c:pt idx="2">
                  <c:v>Mar</c:v>
                </c:pt>
                <c:pt idx="3">
                  <c:v>Apr</c:v>
                </c:pt>
                <c:pt idx="4">
                  <c:v>Oct</c:v>
                </c:pt>
                <c:pt idx="5">
                  <c:v>May</c:v>
                </c:pt>
                <c:pt idx="6">
                  <c:v>Jul</c:v>
                </c:pt>
                <c:pt idx="7">
                  <c:v>Feb</c:v>
                </c:pt>
                <c:pt idx="8">
                  <c:v>Aug</c:v>
                </c:pt>
                <c:pt idx="9">
                  <c:v>Sep</c:v>
                </c:pt>
                <c:pt idx="10">
                  <c:v>Nov</c:v>
                </c:pt>
              </c:strCache>
            </c:strRef>
          </c:cat>
          <c:val>
            <c:numRef>
              <c:f>'Pivot Tables'!$P$4:$P$15</c:f>
              <c:numCache>
                <c:formatCode>General</c:formatCode>
                <c:ptCount val="11"/>
                <c:pt idx="0">
                  <c:v>28072401</c:v>
                </c:pt>
                <c:pt idx="1">
                  <c:v>22639596</c:v>
                </c:pt>
                <c:pt idx="2">
                  <c:v>22513827</c:v>
                </c:pt>
                <c:pt idx="3">
                  <c:v>20188182</c:v>
                </c:pt>
                <c:pt idx="4">
                  <c:v>19977657</c:v>
                </c:pt>
                <c:pt idx="5">
                  <c:v>19416075</c:v>
                </c:pt>
                <c:pt idx="6">
                  <c:v>17877531</c:v>
                </c:pt>
                <c:pt idx="7">
                  <c:v>15279306</c:v>
                </c:pt>
                <c:pt idx="8">
                  <c:v>14735826</c:v>
                </c:pt>
                <c:pt idx="9">
                  <c:v>14141106</c:v>
                </c:pt>
                <c:pt idx="10">
                  <c:v>8697192</c:v>
                </c:pt>
              </c:numCache>
            </c:numRef>
          </c:val>
          <c:smooth val="0"/>
          <c:extLst>
            <c:ext xmlns:c16="http://schemas.microsoft.com/office/drawing/2014/chart" uri="{C3380CC4-5D6E-409C-BE32-E72D297353CC}">
              <c16:uniqueId val="{00000000-EDBD-42A8-942C-BAA6C22194CB}"/>
            </c:ext>
          </c:extLst>
        </c:ser>
        <c:dLbls>
          <c:showLegendKey val="0"/>
          <c:showVal val="0"/>
          <c:showCatName val="0"/>
          <c:showSerName val="0"/>
          <c:showPercent val="0"/>
          <c:showBubbleSize val="0"/>
        </c:dLbls>
        <c:marker val="1"/>
        <c:smooth val="0"/>
        <c:axId val="1600666352"/>
        <c:axId val="1600662032"/>
      </c:lineChart>
      <c:catAx>
        <c:axId val="16006663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0662032"/>
        <c:crosses val="autoZero"/>
        <c:auto val="1"/>
        <c:lblAlgn val="ctr"/>
        <c:lblOffset val="100"/>
        <c:noMultiLvlLbl val="0"/>
      </c:catAx>
      <c:valAx>
        <c:axId val="1600662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066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_task_dashpourd(2).xlsx]Pivot Tables!PivotTable3</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0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20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salesman total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0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476356080489939"/>
          <c:y val="6.6814114433605978E-2"/>
          <c:w val="0.80895538057742777"/>
          <c:h val="0.79628229126164818"/>
        </c:manualLayout>
      </c:layout>
      <c:bar3DChart>
        <c:barDir val="col"/>
        <c:grouping val="stacked"/>
        <c:varyColors val="0"/>
        <c:ser>
          <c:idx val="0"/>
          <c:order val="0"/>
          <c:tx>
            <c:strRef>
              <c:f>'Pivot Tables'!$AH$4</c:f>
              <c:strCache>
                <c:ptCount val="1"/>
                <c:pt idx="0">
                  <c:v>Total</c:v>
                </c:pt>
              </c:strCache>
            </c:strRef>
          </c:tx>
          <c:spPr>
            <a:solidFill>
              <a:schemeClr val="tx1">
                <a:lumMod val="50000"/>
                <a:lumOff val="50000"/>
              </a:schemeClr>
            </a:solidFill>
            <a:ln>
              <a:noFill/>
            </a:ln>
            <a:effectLst>
              <a:outerShdw blurRad="57150" dist="19050" dir="5400000" algn="ctr" rotWithShape="0">
                <a:srgbClr val="000000">
                  <a:alpha val="63000"/>
                </a:srgbClr>
              </a:outerShdw>
            </a:effectLst>
            <a:sp3d/>
          </c:spPr>
          <c:invertIfNegative val="0"/>
          <c:cat>
            <c:strRef>
              <c:f>'Pivot Tables'!$AG$5:$AG$15</c:f>
              <c:strCache>
                <c:ptCount val="10"/>
                <c:pt idx="0">
                  <c:v>Abd alrahman mohamed</c:v>
                </c:pt>
                <c:pt idx="1">
                  <c:v>Ahmed said</c:v>
                </c:pt>
                <c:pt idx="2">
                  <c:v>Samira mostafa</c:v>
                </c:pt>
                <c:pt idx="3">
                  <c:v>Husein Augar</c:v>
                </c:pt>
                <c:pt idx="4">
                  <c:v>Hassan ahmed</c:v>
                </c:pt>
                <c:pt idx="5">
                  <c:v>Mohamed galal</c:v>
                </c:pt>
                <c:pt idx="6">
                  <c:v>Hesham gamal</c:v>
                </c:pt>
                <c:pt idx="7">
                  <c:v>Mohamed Ali</c:v>
                </c:pt>
                <c:pt idx="8">
                  <c:v>Rahma mostafa</c:v>
                </c:pt>
                <c:pt idx="9">
                  <c:v>Sara khaled</c:v>
                </c:pt>
              </c:strCache>
            </c:strRef>
          </c:cat>
          <c:val>
            <c:numRef>
              <c:f>'Pivot Tables'!$AH$5:$AH$15</c:f>
              <c:numCache>
                <c:formatCode>0.00%</c:formatCode>
                <c:ptCount val="10"/>
                <c:pt idx="0">
                  <c:v>7.7326695499807627E-2</c:v>
                </c:pt>
                <c:pt idx="1">
                  <c:v>8.102890546627696E-2</c:v>
                </c:pt>
                <c:pt idx="2">
                  <c:v>8.2692284478049063E-2</c:v>
                </c:pt>
                <c:pt idx="3">
                  <c:v>0.10039650985486549</c:v>
                </c:pt>
                <c:pt idx="4">
                  <c:v>0.10611320159809019</c:v>
                </c:pt>
                <c:pt idx="5">
                  <c:v>0.10614126505741299</c:v>
                </c:pt>
                <c:pt idx="6">
                  <c:v>0.10654343919138444</c:v>
                </c:pt>
                <c:pt idx="7">
                  <c:v>0.10699162914468663</c:v>
                </c:pt>
                <c:pt idx="8">
                  <c:v>0.1118130759006178</c:v>
                </c:pt>
                <c:pt idx="9">
                  <c:v>0.12095299380880881</c:v>
                </c:pt>
              </c:numCache>
            </c:numRef>
          </c:val>
          <c:extLst>
            <c:ext xmlns:c16="http://schemas.microsoft.com/office/drawing/2014/chart" uri="{C3380CC4-5D6E-409C-BE32-E72D297353CC}">
              <c16:uniqueId val="{00000000-9EC1-47A7-9EDA-576617CA1A40}"/>
            </c:ext>
          </c:extLst>
        </c:ser>
        <c:dLbls>
          <c:showLegendKey val="0"/>
          <c:showVal val="0"/>
          <c:showCatName val="0"/>
          <c:showSerName val="0"/>
          <c:showPercent val="0"/>
          <c:showBubbleSize val="0"/>
        </c:dLbls>
        <c:gapWidth val="150"/>
        <c:shape val="box"/>
        <c:axId val="1487014911"/>
        <c:axId val="1487012511"/>
        <c:axId val="0"/>
      </c:bar3DChart>
      <c:catAx>
        <c:axId val="1487014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7012511"/>
        <c:crosses val="autoZero"/>
        <c:auto val="1"/>
        <c:lblAlgn val="ctr"/>
        <c:lblOffset val="100"/>
        <c:noMultiLvlLbl val="0"/>
      </c:catAx>
      <c:valAx>
        <c:axId val="14870125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48701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_task_dashpourd(2).xlsx]Pivot Tables!PivotTable2</c:name>
    <c:fmtId val="6"/>
  </c:pivotSource>
  <c:chart>
    <c:title>
      <c:tx>
        <c:rich>
          <a:bodyPr rot="0" spcFirstLastPara="1" vertOverflow="ellipsis" vert="horz" wrap="square" anchor="ctr" anchorCtr="1"/>
          <a:lstStyle/>
          <a:p>
            <a:pPr>
              <a:defRPr lang="en-GB"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GB"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Total sales per most sales  prouduct</a:t>
            </a:r>
          </a:p>
        </c:rich>
      </c:tx>
      <c:overlay val="0"/>
      <c:spPr>
        <a:noFill/>
        <a:ln>
          <a:noFill/>
        </a:ln>
        <a:effectLst/>
      </c:spPr>
      <c:txPr>
        <a:bodyPr rot="0" spcFirstLastPara="1" vertOverflow="ellipsis" vert="horz" wrap="square" anchor="ctr" anchorCtr="1"/>
        <a:lstStyle/>
        <a:p>
          <a:pPr>
            <a:defRPr lang="en-GB"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77025499549779"/>
          <c:y val="0.18706666666666666"/>
          <c:w val="0.56847256547311154"/>
          <c:h val="0.73205214348206471"/>
        </c:manualLayout>
      </c:layout>
      <c:barChart>
        <c:barDir val="bar"/>
        <c:grouping val="clustered"/>
        <c:varyColors val="0"/>
        <c:ser>
          <c:idx val="0"/>
          <c:order val="0"/>
          <c:tx>
            <c:strRef>
              <c:f>'Pivot Tables'!$I$3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Tables'!$H$4:$H$14</c:f>
              <c:strCache>
                <c:ptCount val="10"/>
                <c:pt idx="0">
                  <c:v>Peanut Butter Cubes</c:v>
                </c:pt>
                <c:pt idx="1">
                  <c:v>Raspberry Choco</c:v>
                </c:pt>
                <c:pt idx="2">
                  <c:v>Manuka Honey Choco</c:v>
                </c:pt>
                <c:pt idx="3">
                  <c:v>Baker's Choco Chips</c:v>
                </c:pt>
                <c:pt idx="4">
                  <c:v>Organic Choco Syrup</c:v>
                </c:pt>
                <c:pt idx="5">
                  <c:v>Smooth Sliky Salty</c:v>
                </c:pt>
                <c:pt idx="6">
                  <c:v>70% Dark Bites</c:v>
                </c:pt>
                <c:pt idx="7">
                  <c:v>Orange Choco</c:v>
                </c:pt>
                <c:pt idx="8">
                  <c:v>Choco Coated Almonds</c:v>
                </c:pt>
                <c:pt idx="9">
                  <c:v>Caramel Stuffed Bars</c:v>
                </c:pt>
              </c:strCache>
            </c:strRef>
          </c:cat>
          <c:val>
            <c:numRef>
              <c:f>'Pivot Tables'!$I$4:$I$14</c:f>
              <c:numCache>
                <c:formatCode>#,##0</c:formatCode>
                <c:ptCount val="10"/>
                <c:pt idx="0">
                  <c:v>9393615</c:v>
                </c:pt>
                <c:pt idx="1">
                  <c:v>9409596</c:v>
                </c:pt>
                <c:pt idx="2">
                  <c:v>9762354</c:v>
                </c:pt>
                <c:pt idx="3">
                  <c:v>9790893</c:v>
                </c:pt>
                <c:pt idx="4">
                  <c:v>9836946</c:v>
                </c:pt>
                <c:pt idx="5">
                  <c:v>11980836</c:v>
                </c:pt>
                <c:pt idx="6">
                  <c:v>13848513</c:v>
                </c:pt>
                <c:pt idx="7">
                  <c:v>14105994</c:v>
                </c:pt>
                <c:pt idx="8">
                  <c:v>15386112</c:v>
                </c:pt>
                <c:pt idx="9">
                  <c:v>15466773</c:v>
                </c:pt>
              </c:numCache>
            </c:numRef>
          </c:val>
          <c:extLst>
            <c:ext xmlns:c16="http://schemas.microsoft.com/office/drawing/2014/chart" uri="{C3380CC4-5D6E-409C-BE32-E72D297353CC}">
              <c16:uniqueId val="{00000000-387B-4AD9-987F-9DA4359AAC16}"/>
            </c:ext>
          </c:extLst>
        </c:ser>
        <c:dLbls>
          <c:showLegendKey val="0"/>
          <c:showVal val="0"/>
          <c:showCatName val="0"/>
          <c:showSerName val="0"/>
          <c:showPercent val="0"/>
          <c:showBubbleSize val="0"/>
        </c:dLbls>
        <c:gapWidth val="115"/>
        <c:overlap val="-20"/>
        <c:axId val="1503765808"/>
        <c:axId val="1503766288"/>
      </c:barChart>
      <c:catAx>
        <c:axId val="15037658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700" b="1" i="0" u="none" strike="noStrike" kern="1200" baseline="0">
                <a:solidFill>
                  <a:schemeClr val="bg2"/>
                </a:solidFill>
                <a:latin typeface="+mn-lt"/>
                <a:ea typeface="+mn-ea"/>
                <a:cs typeface="+mn-cs"/>
              </a:defRPr>
            </a:pPr>
            <a:endParaRPr lang="en-US"/>
          </a:p>
        </c:txPr>
        <c:crossAx val="1503766288"/>
        <c:crosses val="autoZero"/>
        <c:auto val="1"/>
        <c:lblAlgn val="ctr"/>
        <c:lblOffset val="100"/>
        <c:noMultiLvlLbl val="0"/>
      </c:catAx>
      <c:valAx>
        <c:axId val="15037662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376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_task_dashpourd(2).xlsx]Pivot Tables!PivotTable1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Total Units per sales 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Tables'!$A$4:$A$14</c:f>
              <c:strCache>
                <c:ptCount val="10"/>
                <c:pt idx="0">
                  <c:v>Hesham gamal</c:v>
                </c:pt>
                <c:pt idx="1">
                  <c:v>Abd alrahman mohamed</c:v>
                </c:pt>
                <c:pt idx="2">
                  <c:v>Samira mostafa</c:v>
                </c:pt>
                <c:pt idx="3">
                  <c:v>Husein Augar</c:v>
                </c:pt>
                <c:pt idx="4">
                  <c:v>Rahma mostafa</c:v>
                </c:pt>
                <c:pt idx="5">
                  <c:v>Ahmed said</c:v>
                </c:pt>
                <c:pt idx="6">
                  <c:v>Mohamed galal</c:v>
                </c:pt>
                <c:pt idx="7">
                  <c:v>Mohamed Ali</c:v>
                </c:pt>
                <c:pt idx="8">
                  <c:v>Sara khaled</c:v>
                </c:pt>
                <c:pt idx="9">
                  <c:v>Hassan ahmed</c:v>
                </c:pt>
              </c:strCache>
            </c:strRef>
          </c:cat>
          <c:val>
            <c:numRef>
              <c:f>'Pivot Tables'!$B$4:$B$14</c:f>
              <c:numCache>
                <c:formatCode>General</c:formatCode>
                <c:ptCount val="10"/>
                <c:pt idx="0">
                  <c:v>3804</c:v>
                </c:pt>
                <c:pt idx="1">
                  <c:v>4221</c:v>
                </c:pt>
                <c:pt idx="2">
                  <c:v>4245</c:v>
                </c:pt>
                <c:pt idx="3">
                  <c:v>4554</c:v>
                </c:pt>
                <c:pt idx="4">
                  <c:v>4686</c:v>
                </c:pt>
                <c:pt idx="5">
                  <c:v>4704</c:v>
                </c:pt>
                <c:pt idx="6">
                  <c:v>5007</c:v>
                </c:pt>
                <c:pt idx="7">
                  <c:v>5154</c:v>
                </c:pt>
                <c:pt idx="8">
                  <c:v>5295</c:v>
                </c:pt>
                <c:pt idx="9">
                  <c:v>6294</c:v>
                </c:pt>
              </c:numCache>
            </c:numRef>
          </c:val>
          <c:extLst>
            <c:ext xmlns:c16="http://schemas.microsoft.com/office/drawing/2014/chart" uri="{C3380CC4-5D6E-409C-BE32-E72D297353CC}">
              <c16:uniqueId val="{00000000-8B1D-44A7-836E-1A390B3930AA}"/>
            </c:ext>
          </c:extLst>
        </c:ser>
        <c:dLbls>
          <c:showLegendKey val="0"/>
          <c:showVal val="0"/>
          <c:showCatName val="0"/>
          <c:showSerName val="0"/>
          <c:showPercent val="0"/>
          <c:showBubbleSize val="0"/>
        </c:dLbls>
        <c:gapWidth val="115"/>
        <c:overlap val="-20"/>
        <c:axId val="1500217440"/>
        <c:axId val="1500219840"/>
      </c:barChart>
      <c:catAx>
        <c:axId val="15002174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2"/>
                </a:solidFill>
                <a:latin typeface="+mn-lt"/>
                <a:ea typeface="+mn-ea"/>
                <a:cs typeface="+mn-cs"/>
              </a:defRPr>
            </a:pPr>
            <a:endParaRPr lang="en-US"/>
          </a:p>
        </c:txPr>
        <c:crossAx val="1500219840"/>
        <c:crosses val="autoZero"/>
        <c:auto val="1"/>
        <c:lblAlgn val="ctr"/>
        <c:lblOffset val="100"/>
        <c:noMultiLvlLbl val="0"/>
      </c:catAx>
      <c:valAx>
        <c:axId val="1500219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021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_task_dashpourd(2).xlsx]Pivot Tables!PivotTable8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Total sales per rigion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Tables'!$Y$3</c:f>
              <c:strCache>
                <c:ptCount val="1"/>
                <c:pt idx="0">
                  <c:v>Total</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BE4-44E4-BEAF-9E0E54265431}"/>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BE4-44E4-BEAF-9E0E54265431}"/>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BE4-44E4-BEAF-9E0E54265431}"/>
              </c:ext>
            </c:extLst>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BE4-44E4-BEAF-9E0E54265431}"/>
              </c:ext>
            </c:extLst>
          </c:dPt>
          <c:dPt>
            <c:idx val="4"/>
            <c:bubble3D val="0"/>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BE4-44E4-BEAF-9E0E54265431}"/>
              </c:ext>
            </c:extLst>
          </c:dPt>
          <c:dPt>
            <c:idx val="5"/>
            <c:bubble3D val="0"/>
            <c:spPr>
              <a:gradFill rotWithShape="1">
                <a:gsLst>
                  <a:gs pos="0">
                    <a:schemeClr val="dk1">
                      <a:tint val="60000"/>
                      <a:satMod val="103000"/>
                      <a:lumMod val="102000"/>
                      <a:tint val="94000"/>
                    </a:schemeClr>
                  </a:gs>
                  <a:gs pos="50000">
                    <a:schemeClr val="dk1">
                      <a:tint val="60000"/>
                      <a:satMod val="110000"/>
                      <a:lumMod val="100000"/>
                      <a:shade val="100000"/>
                    </a:schemeClr>
                  </a:gs>
                  <a:gs pos="100000">
                    <a:schemeClr val="dk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BE4-44E4-BEAF-9E0E5426543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Tables'!$X$4:$X$10</c:f>
              <c:strCache>
                <c:ptCount val="6"/>
                <c:pt idx="0">
                  <c:v>Al Gharbia</c:v>
                </c:pt>
                <c:pt idx="1">
                  <c:v>Al sharqia</c:v>
                </c:pt>
                <c:pt idx="2">
                  <c:v>Alex</c:v>
                </c:pt>
                <c:pt idx="3">
                  <c:v>Cairo</c:v>
                </c:pt>
                <c:pt idx="4">
                  <c:v>Giza</c:v>
                </c:pt>
                <c:pt idx="5">
                  <c:v>Sharm</c:v>
                </c:pt>
              </c:strCache>
            </c:strRef>
          </c:cat>
          <c:val>
            <c:numRef>
              <c:f>'Pivot Tables'!$Y$4:$Y$10</c:f>
              <c:numCache>
                <c:formatCode>0.00%</c:formatCode>
                <c:ptCount val="6"/>
                <c:pt idx="0">
                  <c:v>0.13427993857816689</c:v>
                </c:pt>
                <c:pt idx="1">
                  <c:v>0.21586547037917345</c:v>
                </c:pt>
                <c:pt idx="2">
                  <c:v>0.16510682324838874</c:v>
                </c:pt>
                <c:pt idx="3">
                  <c:v>0.14844104904099834</c:v>
                </c:pt>
                <c:pt idx="4">
                  <c:v>0.10658202644795327</c:v>
                </c:pt>
                <c:pt idx="5">
                  <c:v>0.22972469230531931</c:v>
                </c:pt>
              </c:numCache>
            </c:numRef>
          </c:val>
          <c:extLst>
            <c:ext xmlns:c16="http://schemas.microsoft.com/office/drawing/2014/chart" uri="{C3380CC4-5D6E-409C-BE32-E72D297353CC}">
              <c16:uniqueId val="{0000000C-2BE4-44E4-BEAF-9E0E54265431}"/>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1"/>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1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_task_dashpourd(2).xlsx]Pivot Tables!PivotTable10</c:name>
    <c:fmtId val="8"/>
  </c:pivotSource>
  <c:chart>
    <c:title>
      <c:tx>
        <c:rich>
          <a:bodyPr rot="0" spcFirstLastPara="1" vertOverflow="ellipsis" vert="horz" wrap="square" anchor="ctr" anchorCtr="1"/>
          <a:lstStyle/>
          <a:p>
            <a:pPr>
              <a:defRPr sz="1800" b="1" i="0" u="none" strike="noStrike" kern="1200" baseline="0">
                <a:gradFill>
                  <a:gsLst>
                    <a:gs pos="3000">
                      <a:schemeClr val="bg2">
                        <a:lumMod val="10000"/>
                      </a:schemeClr>
                    </a:gs>
                    <a:gs pos="36000">
                      <a:schemeClr val="tx1">
                        <a:lumMod val="75000"/>
                        <a:lumOff val="25000"/>
                      </a:schemeClr>
                    </a:gs>
                    <a:gs pos="71000">
                      <a:schemeClr val="bg2">
                        <a:lumMod val="50000"/>
                      </a:schemeClr>
                    </a:gs>
                    <a:gs pos="96000">
                      <a:schemeClr val="bg2"/>
                    </a:gs>
                  </a:gsLst>
                  <a:lin ang="5400000" scaled="1"/>
                </a:gradFill>
                <a:latin typeface="+mn-lt"/>
                <a:ea typeface="+mn-ea"/>
                <a:cs typeface="+mn-cs"/>
              </a:defRPr>
            </a:pPr>
            <a:r>
              <a:rPr lang="en-US" sz="2400"/>
              <a:t> Total Sales of less sales product</a:t>
            </a:r>
          </a:p>
        </c:rich>
      </c:tx>
      <c:overlay val="0"/>
      <c:spPr>
        <a:noFill/>
        <a:ln>
          <a:noFill/>
        </a:ln>
        <a:effectLst/>
      </c:spPr>
      <c:txPr>
        <a:bodyPr rot="0" spcFirstLastPara="1" vertOverflow="ellipsis" vert="horz" wrap="square" anchor="ctr" anchorCtr="1"/>
        <a:lstStyle/>
        <a:p>
          <a:pPr>
            <a:defRPr sz="1800" b="1" i="0" u="none" strike="noStrike" kern="1200" baseline="0">
              <a:gradFill>
                <a:gsLst>
                  <a:gs pos="3000">
                    <a:schemeClr val="bg2">
                      <a:lumMod val="10000"/>
                    </a:schemeClr>
                  </a:gs>
                  <a:gs pos="36000">
                    <a:schemeClr val="tx1">
                      <a:lumMod val="75000"/>
                      <a:lumOff val="25000"/>
                    </a:schemeClr>
                  </a:gs>
                  <a:gs pos="71000">
                    <a:schemeClr val="bg2">
                      <a:lumMod val="50000"/>
                    </a:schemeClr>
                  </a:gs>
                  <a:gs pos="96000">
                    <a:schemeClr val="bg2"/>
                  </a:gs>
                </a:gsLst>
                <a:lin ang="5400000" scaled="1"/>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Tables'!$AQ$3</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Tables'!$AP$4:$AP$14</c:f>
              <c:strCache>
                <c:ptCount val="10"/>
                <c:pt idx="0">
                  <c:v>Spicy Special Slims</c:v>
                </c:pt>
                <c:pt idx="1">
                  <c:v>85% Dark Bars</c:v>
                </c:pt>
                <c:pt idx="2">
                  <c:v>Mint Chip Choco</c:v>
                </c:pt>
                <c:pt idx="3">
                  <c:v>Almond Choco</c:v>
                </c:pt>
                <c:pt idx="4">
                  <c:v>White Choc</c:v>
                </c:pt>
                <c:pt idx="5">
                  <c:v>99% Dark &amp; Pure</c:v>
                </c:pt>
                <c:pt idx="6">
                  <c:v>Milk Bars</c:v>
                </c:pt>
                <c:pt idx="7">
                  <c:v>Drinking Coco</c:v>
                </c:pt>
                <c:pt idx="8">
                  <c:v>Fruit &amp; Nut Bars</c:v>
                </c:pt>
                <c:pt idx="9">
                  <c:v>50% Dark Bites</c:v>
                </c:pt>
              </c:strCache>
            </c:strRef>
          </c:cat>
          <c:val>
            <c:numRef>
              <c:f>'Pivot Tables'!$AQ$4:$AQ$14</c:f>
              <c:numCache>
                <c:formatCode>#,##0</c:formatCode>
                <c:ptCount val="10"/>
                <c:pt idx="0">
                  <c:v>4230177</c:v>
                </c:pt>
                <c:pt idx="1">
                  <c:v>4900098</c:v>
                </c:pt>
                <c:pt idx="2">
                  <c:v>5980023</c:v>
                </c:pt>
                <c:pt idx="3">
                  <c:v>6420603</c:v>
                </c:pt>
                <c:pt idx="4">
                  <c:v>6449373</c:v>
                </c:pt>
                <c:pt idx="5">
                  <c:v>6681948</c:v>
                </c:pt>
                <c:pt idx="6">
                  <c:v>6986238</c:v>
                </c:pt>
                <c:pt idx="7">
                  <c:v>7484757</c:v>
                </c:pt>
                <c:pt idx="8">
                  <c:v>8347962</c:v>
                </c:pt>
                <c:pt idx="9">
                  <c:v>8874474</c:v>
                </c:pt>
              </c:numCache>
            </c:numRef>
          </c:val>
          <c:extLst>
            <c:ext xmlns:c16="http://schemas.microsoft.com/office/drawing/2014/chart" uri="{C3380CC4-5D6E-409C-BE32-E72D297353CC}">
              <c16:uniqueId val="{00000000-7E24-4D7E-B85C-51A490DB2F3F}"/>
            </c:ext>
          </c:extLst>
        </c:ser>
        <c:dLbls>
          <c:dLblPos val="ctr"/>
          <c:showLegendKey val="0"/>
          <c:showVal val="1"/>
          <c:showCatName val="0"/>
          <c:showSerName val="0"/>
          <c:showPercent val="0"/>
          <c:showBubbleSize val="0"/>
        </c:dLbls>
        <c:gapWidth val="150"/>
        <c:overlap val="100"/>
        <c:axId val="103548896"/>
        <c:axId val="103560416"/>
      </c:barChart>
      <c:catAx>
        <c:axId val="1035488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gradFill>
                  <a:gsLst>
                    <a:gs pos="3000">
                      <a:schemeClr val="bg2">
                        <a:lumMod val="10000"/>
                      </a:schemeClr>
                    </a:gs>
                    <a:gs pos="36000">
                      <a:schemeClr val="tx1">
                        <a:lumMod val="75000"/>
                        <a:lumOff val="25000"/>
                      </a:schemeClr>
                    </a:gs>
                    <a:gs pos="65000">
                      <a:schemeClr val="bg2">
                        <a:lumMod val="50000"/>
                      </a:schemeClr>
                    </a:gs>
                    <a:gs pos="96000">
                      <a:schemeClr val="bg2">
                        <a:lumMod val="25000"/>
                      </a:schemeClr>
                    </a:gs>
                  </a:gsLst>
                </a:gradFill>
                <a:latin typeface="+mn-lt"/>
                <a:ea typeface="+mn-ea"/>
                <a:cs typeface="+mn-cs"/>
              </a:defRPr>
            </a:pPr>
            <a:endParaRPr lang="en-US"/>
          </a:p>
        </c:txPr>
        <c:crossAx val="103560416"/>
        <c:crosses val="autoZero"/>
        <c:auto val="1"/>
        <c:lblAlgn val="ctr"/>
        <c:lblOffset val="100"/>
        <c:noMultiLvlLbl val="0"/>
      </c:catAx>
      <c:valAx>
        <c:axId val="103560416"/>
        <c:scaling>
          <c:orientation val="minMax"/>
        </c:scaling>
        <c:delete val="1"/>
        <c:axPos val="b"/>
        <c:numFmt formatCode="#,##0" sourceLinked="1"/>
        <c:majorTickMark val="none"/>
        <c:minorTickMark val="none"/>
        <c:tickLblPos val="nextTo"/>
        <c:crossAx val="10354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gradFill>
            <a:gsLst>
              <a:gs pos="3000">
                <a:schemeClr val="bg2">
                  <a:lumMod val="10000"/>
                </a:schemeClr>
              </a:gs>
              <a:gs pos="36000">
                <a:schemeClr val="tx1">
                  <a:lumMod val="75000"/>
                  <a:lumOff val="25000"/>
                </a:schemeClr>
              </a:gs>
              <a:gs pos="71000">
                <a:schemeClr val="bg2">
                  <a:lumMod val="50000"/>
                </a:schemeClr>
              </a:gs>
              <a:gs pos="96000">
                <a:schemeClr val="bg2"/>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_task_dashpourd(2).xlsx]Pivot Tables!PivotTable17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3000">
                          <a:schemeClr val="bg2">
                            <a:lumMod val="10000"/>
                          </a:schemeClr>
                        </a:gs>
                        <a:gs pos="36000">
                          <a:schemeClr val="tx1">
                            <a:lumMod val="75000"/>
                            <a:lumOff val="25000"/>
                          </a:schemeClr>
                        </a:gs>
                        <a:gs pos="71000">
                          <a:schemeClr val="bg2">
                            <a:lumMod val="50000"/>
                          </a:schemeClr>
                        </a:gs>
                        <a:gs pos="96000">
                          <a:schemeClr val="bg2"/>
                        </a:gs>
                      </a:gsLst>
                      <a:lin ang="5400000" scaled="1"/>
                    </a:gradFill>
                  </a:ln>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Tables'!$DG$18:$DG$19</c:f>
              <c:strCache>
                <c:ptCount val="1"/>
                <c:pt idx="0">
                  <c:v>Spicy Special Slims</c:v>
                </c:pt>
              </c:strCache>
            </c:strRef>
          </c:tx>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3000">
                            <a:schemeClr val="bg2">
                              <a:lumMod val="10000"/>
                            </a:schemeClr>
                          </a:gs>
                          <a:gs pos="36000">
                            <a:schemeClr val="tx1">
                              <a:lumMod val="75000"/>
                              <a:lumOff val="25000"/>
                            </a:schemeClr>
                          </a:gs>
                          <a:gs pos="71000">
                            <a:schemeClr val="bg2">
                              <a:lumMod val="50000"/>
                            </a:schemeClr>
                          </a:gs>
                          <a:gs pos="96000">
                            <a:schemeClr val="bg2"/>
                          </a:gs>
                        </a:gsLst>
                        <a:lin ang="5400000" scaled="1"/>
                      </a:gradFill>
                    </a:ln>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Tables'!$DF$20:$DF$31</c:f>
              <c:strCache>
                <c:ptCount val="11"/>
                <c:pt idx="0">
                  <c:v>Oct</c:v>
                </c:pt>
                <c:pt idx="1">
                  <c:v>Nov</c:v>
                </c:pt>
                <c:pt idx="2">
                  <c:v>Jul</c:v>
                </c:pt>
                <c:pt idx="3">
                  <c:v>Jan</c:v>
                </c:pt>
                <c:pt idx="4">
                  <c:v>Apr</c:v>
                </c:pt>
                <c:pt idx="5">
                  <c:v>Feb</c:v>
                </c:pt>
                <c:pt idx="6">
                  <c:v>Mar</c:v>
                </c:pt>
                <c:pt idx="7">
                  <c:v>May</c:v>
                </c:pt>
                <c:pt idx="8">
                  <c:v>Sep</c:v>
                </c:pt>
                <c:pt idx="9">
                  <c:v>Aug</c:v>
                </c:pt>
                <c:pt idx="10">
                  <c:v>Jun</c:v>
                </c:pt>
              </c:strCache>
            </c:strRef>
          </c:cat>
          <c:val>
            <c:numRef>
              <c:f>'Pivot Tables'!$DG$20:$DG$31</c:f>
              <c:numCache>
                <c:formatCode>#,##0</c:formatCode>
                <c:ptCount val="11"/>
                <c:pt idx="4">
                  <c:v>26397</c:v>
                </c:pt>
                <c:pt idx="5">
                  <c:v>31311</c:v>
                </c:pt>
                <c:pt idx="6">
                  <c:v>129276</c:v>
                </c:pt>
                <c:pt idx="7">
                  <c:v>448056</c:v>
                </c:pt>
                <c:pt idx="8">
                  <c:v>610092</c:v>
                </c:pt>
                <c:pt idx="9">
                  <c:v>1355382</c:v>
                </c:pt>
                <c:pt idx="10">
                  <c:v>1629663</c:v>
                </c:pt>
              </c:numCache>
            </c:numRef>
          </c:val>
          <c:smooth val="0"/>
          <c:extLst>
            <c:ext xmlns:c16="http://schemas.microsoft.com/office/drawing/2014/chart" uri="{C3380CC4-5D6E-409C-BE32-E72D297353CC}">
              <c16:uniqueId val="{00000000-1AB1-45EA-8257-C836219E3F2E}"/>
            </c:ext>
          </c:extLst>
        </c:ser>
        <c:dLbls>
          <c:dLblPos val="t"/>
          <c:showLegendKey val="0"/>
          <c:showVal val="1"/>
          <c:showCatName val="0"/>
          <c:showSerName val="0"/>
          <c:showPercent val="0"/>
          <c:showBubbleSize val="0"/>
        </c:dLbls>
        <c:marker val="1"/>
        <c:smooth val="0"/>
        <c:axId val="198717888"/>
        <c:axId val="198711168"/>
      </c:lineChart>
      <c:catAx>
        <c:axId val="198717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gradFill>
                    <a:gsLst>
                      <a:gs pos="3000">
                        <a:schemeClr val="bg2">
                          <a:lumMod val="10000"/>
                        </a:schemeClr>
                      </a:gs>
                      <a:gs pos="36000">
                        <a:schemeClr val="tx1">
                          <a:lumMod val="75000"/>
                          <a:lumOff val="25000"/>
                        </a:schemeClr>
                      </a:gs>
                      <a:gs pos="71000">
                        <a:schemeClr val="bg2">
                          <a:lumMod val="50000"/>
                        </a:schemeClr>
                      </a:gs>
                      <a:gs pos="96000">
                        <a:schemeClr val="bg2"/>
                      </a:gs>
                    </a:gsLst>
                    <a:lin ang="5400000" scaled="1"/>
                  </a:gradFill>
                </a:ln>
                <a:solidFill>
                  <a:schemeClr val="tx1">
                    <a:lumMod val="95000"/>
                    <a:lumOff val="5000"/>
                  </a:schemeClr>
                </a:solidFill>
                <a:latin typeface="+mn-lt"/>
                <a:ea typeface="+mn-ea"/>
                <a:cs typeface="+mn-cs"/>
              </a:defRPr>
            </a:pPr>
            <a:endParaRPr lang="en-US"/>
          </a:p>
        </c:txPr>
        <c:crossAx val="198711168"/>
        <c:crosses val="autoZero"/>
        <c:auto val="1"/>
        <c:lblAlgn val="ctr"/>
        <c:lblOffset val="100"/>
        <c:noMultiLvlLbl val="0"/>
      </c:catAx>
      <c:valAx>
        <c:axId val="1987111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3000">
                        <a:schemeClr val="bg2">
                          <a:lumMod val="10000"/>
                        </a:schemeClr>
                      </a:gs>
                      <a:gs pos="36000">
                        <a:schemeClr val="tx1">
                          <a:lumMod val="75000"/>
                          <a:lumOff val="25000"/>
                        </a:schemeClr>
                      </a:gs>
                      <a:gs pos="71000">
                        <a:schemeClr val="bg2">
                          <a:lumMod val="50000"/>
                        </a:schemeClr>
                      </a:gs>
                      <a:gs pos="96000">
                        <a:schemeClr val="bg2"/>
                      </a:gs>
                    </a:gsLst>
                    <a:lin ang="5400000" scaled="1"/>
                  </a:gradFill>
                </a:ln>
                <a:solidFill>
                  <a:schemeClr val="tx1">
                    <a:lumMod val="95000"/>
                    <a:lumOff val="5000"/>
                  </a:schemeClr>
                </a:solidFill>
                <a:latin typeface="+mn-lt"/>
                <a:ea typeface="+mn-ea"/>
                <a:cs typeface="+mn-cs"/>
              </a:defRPr>
            </a:pPr>
            <a:endParaRPr lang="en-US"/>
          </a:p>
        </c:txPr>
        <c:crossAx val="19871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gradFill>
              <a:gsLst>
                <a:gs pos="3000">
                  <a:schemeClr val="bg2">
                    <a:lumMod val="10000"/>
                  </a:schemeClr>
                </a:gs>
                <a:gs pos="36000">
                  <a:schemeClr val="tx1">
                    <a:lumMod val="75000"/>
                    <a:lumOff val="25000"/>
                  </a:schemeClr>
                </a:gs>
                <a:gs pos="71000">
                  <a:schemeClr val="bg2">
                    <a:lumMod val="50000"/>
                  </a:schemeClr>
                </a:gs>
                <a:gs pos="96000">
                  <a:schemeClr val="bg2"/>
                </a:gs>
              </a:gsLst>
              <a:lin ang="5400000" scaled="1"/>
            </a:gradFill>
          </a:ln>
          <a:solidFill>
            <a:schemeClr val="tx1">
              <a:lumMod val="95000"/>
              <a:lumOff val="5000"/>
            </a:schemeClr>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_task_dashpourd(2).xlsx]Pivot Tables!PivotTable14</c:name>
    <c:fmtId val="6"/>
  </c:pivotSource>
  <c:chart>
    <c:title>
      <c:tx>
        <c:rich>
          <a:bodyPr rot="0" spcFirstLastPara="1" vertOverflow="ellipsis" vert="horz" wrap="square" anchor="ctr" anchorCtr="1"/>
          <a:lstStyle/>
          <a:p>
            <a:pPr>
              <a:defRPr lang="en-US" sz="2400" b="1" i="0" u="none" strike="noStrike" kern="1200" cap="all" spc="100" baseline="0">
                <a:gradFill>
                  <a:gsLst>
                    <a:gs pos="3000">
                      <a:srgbClr val="E7E6E6">
                        <a:lumMod val="10000"/>
                      </a:srgbClr>
                    </a:gs>
                    <a:gs pos="36000">
                      <a:sysClr val="windowText" lastClr="000000">
                        <a:lumMod val="75000"/>
                        <a:lumOff val="25000"/>
                      </a:sysClr>
                    </a:gs>
                    <a:gs pos="71000">
                      <a:srgbClr val="E7E6E6">
                        <a:lumMod val="50000"/>
                      </a:srgbClr>
                    </a:gs>
                    <a:gs pos="96000">
                      <a:srgbClr val="E7E6E6"/>
                    </a:gs>
                  </a:gsLst>
                  <a:lin ang="5400000" scaled="1"/>
                </a:gradFill>
                <a:effectLst>
                  <a:outerShdw blurRad="50800" dist="38100" dir="5400000" algn="t" rotWithShape="0">
                    <a:prstClr val="black">
                      <a:alpha val="40000"/>
                    </a:prstClr>
                  </a:outerShdw>
                </a:effectLst>
                <a:latin typeface="+mn-lt"/>
                <a:ea typeface="+mn-ea"/>
                <a:cs typeface="+mn-cs"/>
              </a:defRPr>
            </a:pPr>
            <a:r>
              <a:rPr lang="en-US" sz="2400" b="1" i="0" u="none" strike="noStrike" kern="1200" cap="all" spc="100" baseline="0">
                <a:gradFill>
                  <a:gsLst>
                    <a:gs pos="3000">
                      <a:srgbClr val="E7E6E6">
                        <a:lumMod val="10000"/>
                      </a:srgbClr>
                    </a:gs>
                    <a:gs pos="36000">
                      <a:sysClr val="windowText" lastClr="000000">
                        <a:lumMod val="75000"/>
                        <a:lumOff val="25000"/>
                      </a:sysClr>
                    </a:gs>
                    <a:gs pos="71000">
                      <a:srgbClr val="E7E6E6">
                        <a:lumMod val="50000"/>
                      </a:srgbClr>
                    </a:gs>
                    <a:gs pos="96000">
                      <a:srgbClr val="E7E6E6"/>
                    </a:gs>
                  </a:gsLst>
                  <a:lin ang="5400000" scaled="1"/>
                </a:gradFill>
                <a:effectLst>
                  <a:outerShdw blurRad="50800" dist="38100" dir="5400000" algn="t" rotWithShape="0">
                    <a:prstClr val="black">
                      <a:alpha val="40000"/>
                    </a:prstClr>
                  </a:outerShdw>
                </a:effectLst>
                <a:latin typeface="+mn-lt"/>
                <a:ea typeface="+mn-ea"/>
                <a:cs typeface="+mn-cs"/>
              </a:rPr>
              <a:t>Total Sales per each product per month</a:t>
            </a:r>
          </a:p>
        </c:rich>
      </c:tx>
      <c:overlay val="0"/>
      <c:spPr>
        <a:noFill/>
        <a:ln>
          <a:noFill/>
        </a:ln>
        <a:effectLst/>
      </c:spPr>
      <c:txPr>
        <a:bodyPr rot="0" spcFirstLastPara="1" vertOverflow="ellipsis" vert="horz" wrap="square" anchor="ctr" anchorCtr="1"/>
        <a:lstStyle/>
        <a:p>
          <a:pPr>
            <a:defRPr lang="en-US" sz="2400" b="1" i="0" u="none" strike="noStrike" kern="1200" cap="all" spc="100" baseline="0">
              <a:gradFill>
                <a:gsLst>
                  <a:gs pos="3000">
                    <a:srgbClr val="E7E6E6">
                      <a:lumMod val="10000"/>
                    </a:srgbClr>
                  </a:gs>
                  <a:gs pos="36000">
                    <a:sysClr val="windowText" lastClr="000000">
                      <a:lumMod val="75000"/>
                      <a:lumOff val="25000"/>
                    </a:sysClr>
                  </a:gs>
                  <a:gs pos="71000">
                    <a:srgbClr val="E7E6E6">
                      <a:lumMod val="50000"/>
                    </a:srgbClr>
                  </a:gs>
                  <a:gs pos="96000">
                    <a:srgbClr val="E7E6E6"/>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Tables'!$CP$6:$CP$7</c:f>
              <c:strCache>
                <c:ptCount val="1"/>
                <c:pt idx="0">
                  <c:v>Jan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Tables'!$CP$8:$CP$18</c:f>
              <c:numCache>
                <c:formatCode>General</c:formatCode>
                <c:ptCount val="10"/>
                <c:pt idx="0">
                  <c:v>1</c:v>
                </c:pt>
                <c:pt idx="1">
                  <c:v>2</c:v>
                </c:pt>
                <c:pt idx="2">
                  <c:v>2</c:v>
                </c:pt>
                <c:pt idx="3">
                  <c:v>1</c:v>
                </c:pt>
                <c:pt idx="4">
                  <c:v>2</c:v>
                </c:pt>
                <c:pt idx="6">
                  <c:v>3</c:v>
                </c:pt>
                <c:pt idx="7">
                  <c:v>1</c:v>
                </c:pt>
                <c:pt idx="8">
                  <c:v>1</c:v>
                </c:pt>
                <c:pt idx="9">
                  <c:v>1</c:v>
                </c:pt>
              </c:numCache>
            </c:numRef>
          </c:val>
          <c:extLst>
            <c:ext xmlns:c16="http://schemas.microsoft.com/office/drawing/2014/chart" uri="{C3380CC4-5D6E-409C-BE32-E72D297353CC}">
              <c16:uniqueId val="{00000000-7262-479F-BEDA-2BE703100D2E}"/>
            </c:ext>
          </c:extLst>
        </c:ser>
        <c:ser>
          <c:idx val="1"/>
          <c:order val="1"/>
          <c:tx>
            <c:strRef>
              <c:f>'Pivot Tables'!$CQ$6:$CQ$7</c:f>
              <c:strCache>
                <c:ptCount val="1"/>
                <c:pt idx="0">
                  <c:v>Feb</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Tables'!$CQ$8:$CQ$18</c:f>
              <c:numCache>
                <c:formatCode>General</c:formatCode>
                <c:ptCount val="10"/>
                <c:pt idx="1">
                  <c:v>4</c:v>
                </c:pt>
                <c:pt idx="2">
                  <c:v>2</c:v>
                </c:pt>
                <c:pt idx="3">
                  <c:v>4</c:v>
                </c:pt>
                <c:pt idx="4">
                  <c:v>6</c:v>
                </c:pt>
                <c:pt idx="5">
                  <c:v>2</c:v>
                </c:pt>
                <c:pt idx="7">
                  <c:v>6</c:v>
                </c:pt>
              </c:numCache>
            </c:numRef>
          </c:val>
          <c:extLst>
            <c:ext xmlns:c16="http://schemas.microsoft.com/office/drawing/2014/chart" uri="{C3380CC4-5D6E-409C-BE32-E72D297353CC}">
              <c16:uniqueId val="{00000001-7262-479F-BEDA-2BE703100D2E}"/>
            </c:ext>
          </c:extLst>
        </c:ser>
        <c:ser>
          <c:idx val="2"/>
          <c:order val="2"/>
          <c:tx>
            <c:strRef>
              <c:f>'Pivot Tables'!$CR$6:$CR$7</c:f>
              <c:strCache>
                <c:ptCount val="1"/>
                <c:pt idx="0">
                  <c:v>Mar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Tables'!$CR$8:$CR$18</c:f>
              <c:numCache>
                <c:formatCode>General</c:formatCode>
                <c:ptCount val="10"/>
                <c:pt idx="0">
                  <c:v>3</c:v>
                </c:pt>
                <c:pt idx="1">
                  <c:v>3</c:v>
                </c:pt>
                <c:pt idx="2">
                  <c:v>6</c:v>
                </c:pt>
                <c:pt idx="3">
                  <c:v>9</c:v>
                </c:pt>
                <c:pt idx="4">
                  <c:v>3</c:v>
                </c:pt>
                <c:pt idx="5">
                  <c:v>3</c:v>
                </c:pt>
                <c:pt idx="6">
                  <c:v>6</c:v>
                </c:pt>
                <c:pt idx="7">
                  <c:v>3</c:v>
                </c:pt>
                <c:pt idx="9">
                  <c:v>6</c:v>
                </c:pt>
              </c:numCache>
            </c:numRef>
          </c:val>
          <c:extLst>
            <c:ext xmlns:c16="http://schemas.microsoft.com/office/drawing/2014/chart" uri="{C3380CC4-5D6E-409C-BE32-E72D297353CC}">
              <c16:uniqueId val="{00000002-7262-479F-BEDA-2BE703100D2E}"/>
            </c:ext>
          </c:extLst>
        </c:ser>
        <c:ser>
          <c:idx val="3"/>
          <c:order val="3"/>
          <c:tx>
            <c:strRef>
              <c:f>'Pivot Tables'!$CS$6:$CS$7</c:f>
              <c:strCache>
                <c:ptCount val="1"/>
                <c:pt idx="0">
                  <c:v>Apr</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Tables'!$CS$8:$CS$18</c:f>
              <c:numCache>
                <c:formatCode>General</c:formatCode>
                <c:ptCount val="10"/>
                <c:pt idx="0">
                  <c:v>4</c:v>
                </c:pt>
                <c:pt idx="1">
                  <c:v>4</c:v>
                </c:pt>
                <c:pt idx="2">
                  <c:v>4</c:v>
                </c:pt>
                <c:pt idx="3">
                  <c:v>12</c:v>
                </c:pt>
                <c:pt idx="4">
                  <c:v>4</c:v>
                </c:pt>
                <c:pt idx="5">
                  <c:v>4</c:v>
                </c:pt>
                <c:pt idx="7">
                  <c:v>4</c:v>
                </c:pt>
                <c:pt idx="9">
                  <c:v>8</c:v>
                </c:pt>
              </c:numCache>
            </c:numRef>
          </c:val>
          <c:extLst>
            <c:ext xmlns:c16="http://schemas.microsoft.com/office/drawing/2014/chart" uri="{C3380CC4-5D6E-409C-BE32-E72D297353CC}">
              <c16:uniqueId val="{00000003-7262-479F-BEDA-2BE703100D2E}"/>
            </c:ext>
          </c:extLst>
        </c:ser>
        <c:ser>
          <c:idx val="4"/>
          <c:order val="4"/>
          <c:tx>
            <c:strRef>
              <c:f>'Pivot Tables'!$CT$6:$CT$7</c:f>
              <c:strCache>
                <c:ptCount val="1"/>
                <c:pt idx="0">
                  <c:v>May</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Tables'!$CT$8:$CT$18</c:f>
              <c:numCache>
                <c:formatCode>General</c:formatCode>
                <c:ptCount val="10"/>
                <c:pt idx="0">
                  <c:v>20</c:v>
                </c:pt>
                <c:pt idx="1">
                  <c:v>5</c:v>
                </c:pt>
                <c:pt idx="2">
                  <c:v>5</c:v>
                </c:pt>
                <c:pt idx="4">
                  <c:v>5</c:v>
                </c:pt>
                <c:pt idx="5">
                  <c:v>10</c:v>
                </c:pt>
                <c:pt idx="7">
                  <c:v>10</c:v>
                </c:pt>
                <c:pt idx="8">
                  <c:v>5</c:v>
                </c:pt>
              </c:numCache>
            </c:numRef>
          </c:val>
          <c:extLst>
            <c:ext xmlns:c16="http://schemas.microsoft.com/office/drawing/2014/chart" uri="{C3380CC4-5D6E-409C-BE32-E72D297353CC}">
              <c16:uniqueId val="{00000004-7262-479F-BEDA-2BE703100D2E}"/>
            </c:ext>
          </c:extLst>
        </c:ser>
        <c:ser>
          <c:idx val="5"/>
          <c:order val="5"/>
          <c:tx>
            <c:strRef>
              <c:f>'Pivot Tables'!$CU$6:$CU$7</c:f>
              <c:strCache>
                <c:ptCount val="1"/>
                <c:pt idx="0">
                  <c:v>Jun</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Tables'!$CU$8:$CU$18</c:f>
              <c:numCache>
                <c:formatCode>General</c:formatCode>
                <c:ptCount val="10"/>
                <c:pt idx="0">
                  <c:v>24</c:v>
                </c:pt>
                <c:pt idx="2">
                  <c:v>12</c:v>
                </c:pt>
                <c:pt idx="3">
                  <c:v>6</c:v>
                </c:pt>
                <c:pt idx="4">
                  <c:v>12</c:v>
                </c:pt>
                <c:pt idx="5">
                  <c:v>6</c:v>
                </c:pt>
                <c:pt idx="6">
                  <c:v>12</c:v>
                </c:pt>
                <c:pt idx="8">
                  <c:v>12</c:v>
                </c:pt>
                <c:pt idx="9">
                  <c:v>6</c:v>
                </c:pt>
              </c:numCache>
            </c:numRef>
          </c:val>
          <c:extLst>
            <c:ext xmlns:c16="http://schemas.microsoft.com/office/drawing/2014/chart" uri="{C3380CC4-5D6E-409C-BE32-E72D297353CC}">
              <c16:uniqueId val="{00000005-7262-479F-BEDA-2BE703100D2E}"/>
            </c:ext>
          </c:extLst>
        </c:ser>
        <c:ser>
          <c:idx val="6"/>
          <c:order val="6"/>
          <c:tx>
            <c:strRef>
              <c:f>'Pivot Tables'!$CV$6:$CV$7</c:f>
              <c:strCache>
                <c:ptCount val="1"/>
                <c:pt idx="0">
                  <c:v>Jul</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Tables'!$CV$8:$CV$18</c:f>
              <c:numCache>
                <c:formatCode>General</c:formatCode>
                <c:ptCount val="10"/>
                <c:pt idx="1">
                  <c:v>21</c:v>
                </c:pt>
                <c:pt idx="2">
                  <c:v>7</c:v>
                </c:pt>
                <c:pt idx="3">
                  <c:v>7</c:v>
                </c:pt>
                <c:pt idx="4">
                  <c:v>21</c:v>
                </c:pt>
                <c:pt idx="7">
                  <c:v>7</c:v>
                </c:pt>
                <c:pt idx="8">
                  <c:v>7</c:v>
                </c:pt>
                <c:pt idx="9">
                  <c:v>14</c:v>
                </c:pt>
              </c:numCache>
            </c:numRef>
          </c:val>
          <c:extLst>
            <c:ext xmlns:c16="http://schemas.microsoft.com/office/drawing/2014/chart" uri="{C3380CC4-5D6E-409C-BE32-E72D297353CC}">
              <c16:uniqueId val="{00000006-7262-479F-BEDA-2BE703100D2E}"/>
            </c:ext>
          </c:extLst>
        </c:ser>
        <c:ser>
          <c:idx val="7"/>
          <c:order val="7"/>
          <c:tx>
            <c:strRef>
              <c:f>'Pivot Tables'!$CW$6:$CW$7</c:f>
              <c:strCache>
                <c:ptCount val="1"/>
                <c:pt idx="0">
                  <c:v>Aug</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Tables'!$CW$8:$CW$18</c:f>
              <c:numCache>
                <c:formatCode>General</c:formatCode>
                <c:ptCount val="10"/>
                <c:pt idx="1">
                  <c:v>8</c:v>
                </c:pt>
                <c:pt idx="2">
                  <c:v>8</c:v>
                </c:pt>
                <c:pt idx="3">
                  <c:v>8</c:v>
                </c:pt>
                <c:pt idx="4">
                  <c:v>8</c:v>
                </c:pt>
                <c:pt idx="5">
                  <c:v>8</c:v>
                </c:pt>
                <c:pt idx="6">
                  <c:v>8</c:v>
                </c:pt>
                <c:pt idx="7">
                  <c:v>16</c:v>
                </c:pt>
                <c:pt idx="8">
                  <c:v>16</c:v>
                </c:pt>
                <c:pt idx="9">
                  <c:v>24</c:v>
                </c:pt>
              </c:numCache>
            </c:numRef>
          </c:val>
          <c:extLst>
            <c:ext xmlns:c16="http://schemas.microsoft.com/office/drawing/2014/chart" uri="{C3380CC4-5D6E-409C-BE32-E72D297353CC}">
              <c16:uniqueId val="{00000007-7262-479F-BEDA-2BE703100D2E}"/>
            </c:ext>
          </c:extLst>
        </c:ser>
        <c:ser>
          <c:idx val="8"/>
          <c:order val="8"/>
          <c:tx>
            <c:strRef>
              <c:f>'Pivot Tables'!$CX$6:$CX$7</c:f>
              <c:strCache>
                <c:ptCount val="1"/>
                <c:pt idx="0">
                  <c:v>Sep</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Tables'!$CX$8:$CX$18</c:f>
              <c:numCache>
                <c:formatCode>General</c:formatCode>
                <c:ptCount val="10"/>
                <c:pt idx="0">
                  <c:v>9</c:v>
                </c:pt>
                <c:pt idx="2">
                  <c:v>18</c:v>
                </c:pt>
                <c:pt idx="3">
                  <c:v>9</c:v>
                </c:pt>
                <c:pt idx="5">
                  <c:v>27</c:v>
                </c:pt>
                <c:pt idx="6">
                  <c:v>18</c:v>
                </c:pt>
                <c:pt idx="7">
                  <c:v>9</c:v>
                </c:pt>
                <c:pt idx="8">
                  <c:v>9</c:v>
                </c:pt>
              </c:numCache>
            </c:numRef>
          </c:val>
          <c:extLst>
            <c:ext xmlns:c16="http://schemas.microsoft.com/office/drawing/2014/chart" uri="{C3380CC4-5D6E-409C-BE32-E72D297353CC}">
              <c16:uniqueId val="{00000008-7262-479F-BEDA-2BE703100D2E}"/>
            </c:ext>
          </c:extLst>
        </c:ser>
        <c:ser>
          <c:idx val="9"/>
          <c:order val="9"/>
          <c:tx>
            <c:strRef>
              <c:f>'Pivot Tables'!$CY$6:$CY$7</c:f>
              <c:strCache>
                <c:ptCount val="1"/>
                <c:pt idx="0">
                  <c:v>Oct</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Tables'!$CY$8:$CY$18</c:f>
              <c:numCache>
                <c:formatCode>General</c:formatCode>
                <c:ptCount val="10"/>
                <c:pt idx="0">
                  <c:v>10</c:v>
                </c:pt>
                <c:pt idx="3">
                  <c:v>10</c:v>
                </c:pt>
                <c:pt idx="4">
                  <c:v>10</c:v>
                </c:pt>
                <c:pt idx="8">
                  <c:v>10</c:v>
                </c:pt>
              </c:numCache>
            </c:numRef>
          </c:val>
          <c:extLst>
            <c:ext xmlns:c16="http://schemas.microsoft.com/office/drawing/2014/chart" uri="{C3380CC4-5D6E-409C-BE32-E72D297353CC}">
              <c16:uniqueId val="{00000009-7262-479F-BEDA-2BE703100D2E}"/>
            </c:ext>
          </c:extLst>
        </c:ser>
        <c:ser>
          <c:idx val="10"/>
          <c:order val="10"/>
          <c:tx>
            <c:strRef>
              <c:f>'Pivot Tables'!$CZ$6:$CZ$7</c:f>
              <c:strCache>
                <c:ptCount val="1"/>
                <c:pt idx="0">
                  <c:v>Nov</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Tables'!$CZ$8:$CZ$18</c:f>
              <c:numCache>
                <c:formatCode>General</c:formatCode>
                <c:ptCount val="10"/>
              </c:numCache>
            </c:numRef>
          </c:val>
          <c:extLst>
            <c:ext xmlns:c16="http://schemas.microsoft.com/office/drawing/2014/chart" uri="{C3380CC4-5D6E-409C-BE32-E72D297353CC}">
              <c16:uniqueId val="{0000000A-7262-479F-BEDA-2BE703100D2E}"/>
            </c:ext>
          </c:extLst>
        </c:ser>
        <c:dLbls>
          <c:showLegendKey val="0"/>
          <c:showVal val="0"/>
          <c:showCatName val="0"/>
          <c:showSerName val="0"/>
          <c:showPercent val="0"/>
          <c:showBubbleSize val="0"/>
        </c:dLbls>
        <c:gapWidth val="100"/>
        <c:overlap val="-24"/>
        <c:axId val="777058416"/>
        <c:axId val="777059376"/>
      </c:barChart>
      <c:catAx>
        <c:axId val="777058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777059376"/>
        <c:crosses val="autoZero"/>
        <c:auto val="1"/>
        <c:lblAlgn val="ctr"/>
        <c:lblOffset val="100"/>
        <c:noMultiLvlLbl val="0"/>
      </c:catAx>
      <c:valAx>
        <c:axId val="777059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77705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_task_dashpourd(2).xlsx]Pivot Tables!PivotTable13</c:name>
    <c:fmtId val="4"/>
  </c:pivotSource>
  <c:chart>
    <c:title>
      <c:tx>
        <c:rich>
          <a:bodyPr rot="0" spcFirstLastPara="1" vertOverflow="ellipsis" vert="horz" wrap="square" anchor="ctr" anchorCtr="1"/>
          <a:lstStyle/>
          <a:p>
            <a:pPr algn="ctr" rtl="0">
              <a:defRPr lang="en-US" sz="2400" b="1" i="0" u="none" strike="noStrike" kern="1200" cap="all" baseline="0">
                <a:gradFill>
                  <a:gsLst>
                    <a:gs pos="3000">
                      <a:srgbClr val="E7E6E6">
                        <a:lumMod val="10000"/>
                      </a:srgbClr>
                    </a:gs>
                    <a:gs pos="36000">
                      <a:sysClr val="windowText" lastClr="000000">
                        <a:lumMod val="75000"/>
                        <a:lumOff val="25000"/>
                      </a:sysClr>
                    </a:gs>
                    <a:gs pos="71000">
                      <a:srgbClr val="E7E6E6">
                        <a:lumMod val="50000"/>
                      </a:srgbClr>
                    </a:gs>
                    <a:gs pos="96000">
                      <a:srgbClr val="E7E6E6"/>
                    </a:gs>
                  </a:gsLst>
                  <a:lin ang="5400000" scaled="1"/>
                </a:gradFill>
                <a:latin typeface="+mn-lt"/>
                <a:ea typeface="+mn-ea"/>
                <a:cs typeface="+mn-cs"/>
              </a:defRPr>
            </a:pPr>
            <a:r>
              <a:rPr lang="en-US" sz="2400" b="1" i="0" u="none" strike="noStrike" kern="1200" baseline="0">
                <a:gradFill>
                  <a:gsLst>
                    <a:gs pos="3000">
                      <a:srgbClr val="E7E6E6">
                        <a:lumMod val="10000"/>
                      </a:srgbClr>
                    </a:gs>
                    <a:gs pos="36000">
                      <a:sysClr val="windowText" lastClr="000000">
                        <a:lumMod val="75000"/>
                        <a:lumOff val="25000"/>
                      </a:sysClr>
                    </a:gs>
                    <a:gs pos="71000">
                      <a:srgbClr val="E7E6E6">
                        <a:lumMod val="50000"/>
                      </a:srgbClr>
                    </a:gs>
                    <a:gs pos="96000">
                      <a:srgbClr val="E7E6E6"/>
                    </a:gs>
                  </a:gsLst>
                  <a:lin ang="5400000" scaled="1"/>
                </a:gradFill>
                <a:latin typeface="+mn-lt"/>
                <a:ea typeface="+mn-ea"/>
                <a:cs typeface="+mn-cs"/>
              </a:rPr>
              <a:t>Total sales per each salerman</a:t>
            </a:r>
          </a:p>
        </c:rich>
      </c:tx>
      <c:overlay val="0"/>
      <c:spPr>
        <a:noFill/>
        <a:ln>
          <a:noFill/>
        </a:ln>
        <a:effectLst/>
      </c:spPr>
      <c:txPr>
        <a:bodyPr rot="0" spcFirstLastPara="1" vertOverflow="ellipsis" vert="horz" wrap="square" anchor="ctr" anchorCtr="1"/>
        <a:lstStyle/>
        <a:p>
          <a:pPr algn="ctr" rtl="0">
            <a:defRPr lang="en-US" sz="2400" b="1" i="0" u="none" strike="noStrike" kern="1200" cap="all" baseline="0">
              <a:gradFill>
                <a:gsLst>
                  <a:gs pos="3000">
                    <a:srgbClr val="E7E6E6">
                      <a:lumMod val="10000"/>
                    </a:srgbClr>
                  </a:gs>
                  <a:gs pos="36000">
                    <a:sysClr val="windowText" lastClr="000000">
                      <a:lumMod val="75000"/>
                      <a:lumOff val="25000"/>
                    </a:sysClr>
                  </a:gs>
                  <a:gs pos="71000">
                    <a:srgbClr val="E7E6E6">
                      <a:lumMod val="50000"/>
                    </a:srgbClr>
                  </a:gs>
                  <a:gs pos="96000">
                    <a:srgbClr val="E7E6E6"/>
                  </a:gs>
                </a:gsLst>
                <a:lin ang="5400000" scaled="1"/>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lumMod val="80000"/>
                <a:lumOff val="2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lumMod val="80000"/>
                <a:lumOff val="2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lumMod val="80000"/>
                <a:lumOff val="2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lumMod val="8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Tables'!$CA$15:$CA$16</c:f>
              <c:strCache>
                <c:ptCount val="1"/>
                <c:pt idx="0">
                  <c:v>50% Dark Bites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Tables'!$CA$17:$CA$27</c:f>
              <c:numCache>
                <c:formatCode>#,##0</c:formatCode>
                <c:ptCount val="10"/>
                <c:pt idx="1">
                  <c:v>59892</c:v>
                </c:pt>
                <c:pt idx="2">
                  <c:v>2619309</c:v>
                </c:pt>
                <c:pt idx="4">
                  <c:v>57078</c:v>
                </c:pt>
                <c:pt idx="6">
                  <c:v>2585961</c:v>
                </c:pt>
                <c:pt idx="7">
                  <c:v>3265962</c:v>
                </c:pt>
                <c:pt idx="8">
                  <c:v>286272</c:v>
                </c:pt>
              </c:numCache>
            </c:numRef>
          </c:val>
          <c:extLst>
            <c:ext xmlns:c16="http://schemas.microsoft.com/office/drawing/2014/chart" uri="{C3380CC4-5D6E-409C-BE32-E72D297353CC}">
              <c16:uniqueId val="{00000000-F7E8-40EC-82F5-46A54E908859}"/>
            </c:ext>
          </c:extLst>
        </c:ser>
        <c:ser>
          <c:idx val="1"/>
          <c:order val="1"/>
          <c:tx>
            <c:strRef>
              <c:f>'Pivot Tables'!$CB$15:$CB$16</c:f>
              <c:strCache>
                <c:ptCount val="1"/>
                <c:pt idx="0">
                  <c:v>85% Dark Bars</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Tables'!$CB$17:$CB$27</c:f>
              <c:numCache>
                <c:formatCode>#,##0</c:formatCode>
                <c:ptCount val="10"/>
                <c:pt idx="0">
                  <c:v>1447740</c:v>
                </c:pt>
                <c:pt idx="1">
                  <c:v>687078</c:v>
                </c:pt>
                <c:pt idx="3">
                  <c:v>8967</c:v>
                </c:pt>
                <c:pt idx="5">
                  <c:v>110397</c:v>
                </c:pt>
                <c:pt idx="6">
                  <c:v>1993320</c:v>
                </c:pt>
                <c:pt idx="8">
                  <c:v>652596</c:v>
                </c:pt>
              </c:numCache>
            </c:numRef>
          </c:val>
          <c:extLst>
            <c:ext xmlns:c16="http://schemas.microsoft.com/office/drawing/2014/chart" uri="{C3380CC4-5D6E-409C-BE32-E72D297353CC}">
              <c16:uniqueId val="{00000001-F7E8-40EC-82F5-46A54E908859}"/>
            </c:ext>
          </c:extLst>
        </c:ser>
        <c:ser>
          <c:idx val="2"/>
          <c:order val="2"/>
          <c:tx>
            <c:strRef>
              <c:f>'Pivot Tables'!$CC$15:$CC$16</c:f>
              <c:strCache>
                <c:ptCount val="1"/>
                <c:pt idx="0">
                  <c:v>99% Dark &amp; Pure</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Tables'!$CC$17:$CC$27</c:f>
              <c:numCache>
                <c:formatCode>#,##0</c:formatCode>
                <c:ptCount val="10"/>
                <c:pt idx="1">
                  <c:v>1087527</c:v>
                </c:pt>
                <c:pt idx="2">
                  <c:v>23058</c:v>
                </c:pt>
                <c:pt idx="4">
                  <c:v>913899</c:v>
                </c:pt>
                <c:pt idx="5">
                  <c:v>812469</c:v>
                </c:pt>
                <c:pt idx="6">
                  <c:v>1961400</c:v>
                </c:pt>
                <c:pt idx="7">
                  <c:v>1092420</c:v>
                </c:pt>
                <c:pt idx="8">
                  <c:v>429891</c:v>
                </c:pt>
                <c:pt idx="9">
                  <c:v>361284</c:v>
                </c:pt>
              </c:numCache>
            </c:numRef>
          </c:val>
          <c:extLst>
            <c:ext xmlns:c16="http://schemas.microsoft.com/office/drawing/2014/chart" uri="{C3380CC4-5D6E-409C-BE32-E72D297353CC}">
              <c16:uniqueId val="{00000002-F7E8-40EC-82F5-46A54E908859}"/>
            </c:ext>
          </c:extLst>
        </c:ser>
        <c:ser>
          <c:idx val="3"/>
          <c:order val="3"/>
          <c:tx>
            <c:strRef>
              <c:f>'Pivot Tables'!$CD$15:$CD$16</c:f>
              <c:strCache>
                <c:ptCount val="1"/>
                <c:pt idx="0">
                  <c:v>Almond Choco</c:v>
                </c:pt>
              </c:strCache>
            </c:strRef>
          </c:tx>
          <c:spPr>
            <a:solidFill>
              <a:schemeClr val="accent1">
                <a:lumMod val="60000"/>
                <a:alpha val="88000"/>
              </a:schemeClr>
            </a:solidFill>
            <a:ln>
              <a:solidFill>
                <a:schemeClr val="accent1">
                  <a:lumMod val="60000"/>
                  <a:lumMod val="50000"/>
                </a:schemeClr>
              </a:solidFill>
            </a:ln>
            <a:effectLst/>
            <a:scene3d>
              <a:camera prst="orthographicFront"/>
              <a:lightRig rig="threePt" dir="t"/>
            </a:scene3d>
            <a:sp3d prstMaterial="flat">
              <a:contourClr>
                <a:schemeClr val="accent1">
                  <a:lumMod val="60000"/>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Tables'!$CD$17:$CD$27</c:f>
              <c:numCache>
                <c:formatCode>#,##0</c:formatCode>
                <c:ptCount val="10"/>
                <c:pt idx="0">
                  <c:v>194586</c:v>
                </c:pt>
                <c:pt idx="1">
                  <c:v>24696</c:v>
                </c:pt>
                <c:pt idx="2">
                  <c:v>343308</c:v>
                </c:pt>
                <c:pt idx="3">
                  <c:v>1757364</c:v>
                </c:pt>
                <c:pt idx="4">
                  <c:v>10647</c:v>
                </c:pt>
                <c:pt idx="5">
                  <c:v>632562</c:v>
                </c:pt>
                <c:pt idx="7">
                  <c:v>3457440</c:v>
                </c:pt>
              </c:numCache>
            </c:numRef>
          </c:val>
          <c:extLst>
            <c:ext xmlns:c16="http://schemas.microsoft.com/office/drawing/2014/chart" uri="{C3380CC4-5D6E-409C-BE32-E72D297353CC}">
              <c16:uniqueId val="{00000003-F7E8-40EC-82F5-46A54E908859}"/>
            </c:ext>
          </c:extLst>
        </c:ser>
        <c:ser>
          <c:idx val="4"/>
          <c:order val="4"/>
          <c:tx>
            <c:strRef>
              <c:f>'Pivot Tables'!$CE$15:$CE$16</c:f>
              <c:strCache>
                <c:ptCount val="1"/>
                <c:pt idx="0">
                  <c:v>Drinking Coco</c:v>
                </c:pt>
              </c:strCache>
            </c:strRef>
          </c:tx>
          <c:spPr>
            <a:solidFill>
              <a:schemeClr val="accent3">
                <a:lumMod val="60000"/>
                <a:alpha val="88000"/>
              </a:schemeClr>
            </a:solidFill>
            <a:ln>
              <a:solidFill>
                <a:schemeClr val="accent3">
                  <a:lumMod val="60000"/>
                  <a:lumMod val="50000"/>
                </a:schemeClr>
              </a:solidFill>
            </a:ln>
            <a:effectLst/>
            <a:scene3d>
              <a:camera prst="orthographicFront"/>
              <a:lightRig rig="threePt" dir="t"/>
            </a:scene3d>
            <a:sp3d prstMaterial="flat">
              <a:contourClr>
                <a:schemeClr val="accent3">
                  <a:lumMod val="60000"/>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Tables'!$CE$17:$CE$27</c:f>
              <c:numCache>
                <c:formatCode>#,##0</c:formatCode>
                <c:ptCount val="10"/>
                <c:pt idx="0">
                  <c:v>538356</c:v>
                </c:pt>
                <c:pt idx="1">
                  <c:v>150423</c:v>
                </c:pt>
                <c:pt idx="3">
                  <c:v>153510</c:v>
                </c:pt>
                <c:pt idx="4">
                  <c:v>1596798</c:v>
                </c:pt>
                <c:pt idx="6">
                  <c:v>948402</c:v>
                </c:pt>
                <c:pt idx="7">
                  <c:v>1062432</c:v>
                </c:pt>
                <c:pt idx="8">
                  <c:v>2774016</c:v>
                </c:pt>
                <c:pt idx="9">
                  <c:v>260820</c:v>
                </c:pt>
              </c:numCache>
            </c:numRef>
          </c:val>
          <c:extLst>
            <c:ext xmlns:c16="http://schemas.microsoft.com/office/drawing/2014/chart" uri="{C3380CC4-5D6E-409C-BE32-E72D297353CC}">
              <c16:uniqueId val="{00000004-F7E8-40EC-82F5-46A54E908859}"/>
            </c:ext>
          </c:extLst>
        </c:ser>
        <c:ser>
          <c:idx val="5"/>
          <c:order val="5"/>
          <c:tx>
            <c:strRef>
              <c:f>'Pivot Tables'!$CF$15:$CF$16</c:f>
              <c:strCache>
                <c:ptCount val="1"/>
                <c:pt idx="0">
                  <c:v>Fruit &amp; Nut Bars</c:v>
                </c:pt>
              </c:strCache>
            </c:strRef>
          </c:tx>
          <c:spPr>
            <a:solidFill>
              <a:schemeClr val="accent5">
                <a:lumMod val="60000"/>
                <a:alpha val="88000"/>
              </a:schemeClr>
            </a:solidFill>
            <a:ln>
              <a:solidFill>
                <a:schemeClr val="accent5">
                  <a:lumMod val="60000"/>
                  <a:lumMod val="50000"/>
                </a:schemeClr>
              </a:solidFill>
            </a:ln>
            <a:effectLst/>
            <a:scene3d>
              <a:camera prst="orthographicFront"/>
              <a:lightRig rig="threePt" dir="t"/>
            </a:scene3d>
            <a:sp3d prstMaterial="flat">
              <a:contourClr>
                <a:schemeClr val="accent5">
                  <a:lumMod val="60000"/>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Tables'!$CF$17:$CF$27</c:f>
              <c:numCache>
                <c:formatCode>#,##0</c:formatCode>
                <c:ptCount val="10"/>
                <c:pt idx="0">
                  <c:v>988491</c:v>
                </c:pt>
                <c:pt idx="1">
                  <c:v>94710</c:v>
                </c:pt>
                <c:pt idx="2">
                  <c:v>1039143</c:v>
                </c:pt>
                <c:pt idx="3">
                  <c:v>935361</c:v>
                </c:pt>
                <c:pt idx="4">
                  <c:v>698481</c:v>
                </c:pt>
                <c:pt idx="5">
                  <c:v>208425</c:v>
                </c:pt>
                <c:pt idx="7">
                  <c:v>745227</c:v>
                </c:pt>
                <c:pt idx="8">
                  <c:v>2487240</c:v>
                </c:pt>
                <c:pt idx="9">
                  <c:v>1150884</c:v>
                </c:pt>
              </c:numCache>
            </c:numRef>
          </c:val>
          <c:extLst>
            <c:ext xmlns:c16="http://schemas.microsoft.com/office/drawing/2014/chart" uri="{C3380CC4-5D6E-409C-BE32-E72D297353CC}">
              <c16:uniqueId val="{00000005-F7E8-40EC-82F5-46A54E908859}"/>
            </c:ext>
          </c:extLst>
        </c:ser>
        <c:ser>
          <c:idx val="6"/>
          <c:order val="6"/>
          <c:tx>
            <c:strRef>
              <c:f>'Pivot Tables'!$CG$15:$CG$16</c:f>
              <c:strCache>
                <c:ptCount val="1"/>
                <c:pt idx="0">
                  <c:v>Milk Bars</c:v>
                </c:pt>
              </c:strCache>
            </c:strRef>
          </c:tx>
          <c:spPr>
            <a:solidFill>
              <a:schemeClr val="accent1">
                <a:lumMod val="80000"/>
                <a:lumOff val="20000"/>
                <a:alpha val="88000"/>
              </a:schemeClr>
            </a:solidFill>
            <a:ln>
              <a:solidFill>
                <a:schemeClr val="accent1">
                  <a:lumMod val="80000"/>
                  <a:lumOff val="20000"/>
                  <a:lumMod val="50000"/>
                </a:schemeClr>
              </a:solidFill>
            </a:ln>
            <a:effectLst/>
            <a:scene3d>
              <a:camera prst="orthographicFront"/>
              <a:lightRig rig="threePt" dir="t"/>
            </a:scene3d>
            <a:sp3d prstMaterial="flat">
              <a:contourClr>
                <a:schemeClr val="accent1">
                  <a:lumMod val="80000"/>
                  <a:lumOff val="20000"/>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Tables'!$CG$17:$CG$27</c:f>
              <c:numCache>
                <c:formatCode>#,##0</c:formatCode>
                <c:ptCount val="10"/>
                <c:pt idx="1">
                  <c:v>775404</c:v>
                </c:pt>
                <c:pt idx="3">
                  <c:v>414561</c:v>
                </c:pt>
                <c:pt idx="4">
                  <c:v>16464</c:v>
                </c:pt>
                <c:pt idx="5">
                  <c:v>2573214</c:v>
                </c:pt>
                <c:pt idx="7">
                  <c:v>78624</c:v>
                </c:pt>
                <c:pt idx="8">
                  <c:v>2710281</c:v>
                </c:pt>
                <c:pt idx="9">
                  <c:v>417690</c:v>
                </c:pt>
              </c:numCache>
            </c:numRef>
          </c:val>
          <c:extLst>
            <c:ext xmlns:c16="http://schemas.microsoft.com/office/drawing/2014/chart" uri="{C3380CC4-5D6E-409C-BE32-E72D297353CC}">
              <c16:uniqueId val="{00000006-F7E8-40EC-82F5-46A54E908859}"/>
            </c:ext>
          </c:extLst>
        </c:ser>
        <c:ser>
          <c:idx val="7"/>
          <c:order val="7"/>
          <c:tx>
            <c:strRef>
              <c:f>'Pivot Tables'!$CH$15:$CH$16</c:f>
              <c:strCache>
                <c:ptCount val="1"/>
                <c:pt idx="0">
                  <c:v>Mint Chip Choco</c:v>
                </c:pt>
              </c:strCache>
            </c:strRef>
          </c:tx>
          <c:spPr>
            <a:solidFill>
              <a:schemeClr val="accent3">
                <a:lumMod val="80000"/>
                <a:lumOff val="20000"/>
                <a:alpha val="88000"/>
              </a:schemeClr>
            </a:solidFill>
            <a:ln>
              <a:solidFill>
                <a:schemeClr val="accent3">
                  <a:lumMod val="80000"/>
                  <a:lumOff val="20000"/>
                  <a:lumMod val="50000"/>
                </a:schemeClr>
              </a:solidFill>
            </a:ln>
            <a:effectLst/>
            <a:scene3d>
              <a:camera prst="orthographicFront"/>
              <a:lightRig rig="threePt" dir="t"/>
            </a:scene3d>
            <a:sp3d prstMaterial="flat">
              <a:contourClr>
                <a:schemeClr val="accent3">
                  <a:lumMod val="80000"/>
                  <a:lumOff val="20000"/>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Tables'!$CH$17:$CH$27</c:f>
              <c:numCache>
                <c:formatCode>#,##0</c:formatCode>
                <c:ptCount val="10"/>
                <c:pt idx="0">
                  <c:v>494802</c:v>
                </c:pt>
                <c:pt idx="1">
                  <c:v>631176</c:v>
                </c:pt>
                <c:pt idx="2">
                  <c:v>334656</c:v>
                </c:pt>
                <c:pt idx="3">
                  <c:v>943173</c:v>
                </c:pt>
                <c:pt idx="4">
                  <c:v>475629</c:v>
                </c:pt>
                <c:pt idx="5">
                  <c:v>822150</c:v>
                </c:pt>
                <c:pt idx="6">
                  <c:v>1551816</c:v>
                </c:pt>
                <c:pt idx="8">
                  <c:v>286650</c:v>
                </c:pt>
                <c:pt idx="9">
                  <c:v>439971</c:v>
                </c:pt>
              </c:numCache>
            </c:numRef>
          </c:val>
          <c:extLst>
            <c:ext xmlns:c16="http://schemas.microsoft.com/office/drawing/2014/chart" uri="{C3380CC4-5D6E-409C-BE32-E72D297353CC}">
              <c16:uniqueId val="{00000007-F7E8-40EC-82F5-46A54E908859}"/>
            </c:ext>
          </c:extLst>
        </c:ser>
        <c:ser>
          <c:idx val="8"/>
          <c:order val="8"/>
          <c:tx>
            <c:strRef>
              <c:f>'Pivot Tables'!$CI$15:$CI$16</c:f>
              <c:strCache>
                <c:ptCount val="1"/>
                <c:pt idx="0">
                  <c:v>Spicy Special Slims</c:v>
                </c:pt>
              </c:strCache>
            </c:strRef>
          </c:tx>
          <c:spPr>
            <a:solidFill>
              <a:schemeClr val="accent5">
                <a:lumMod val="80000"/>
                <a:lumOff val="20000"/>
                <a:alpha val="88000"/>
              </a:schemeClr>
            </a:solidFill>
            <a:ln>
              <a:solidFill>
                <a:schemeClr val="accent5">
                  <a:lumMod val="80000"/>
                  <a:lumOff val="20000"/>
                  <a:lumMod val="50000"/>
                </a:schemeClr>
              </a:solidFill>
            </a:ln>
            <a:effectLst/>
            <a:scene3d>
              <a:camera prst="orthographicFront"/>
              <a:lightRig rig="threePt" dir="t"/>
            </a:scene3d>
            <a:sp3d prstMaterial="flat">
              <a:contourClr>
                <a:schemeClr val="accent5">
                  <a:lumMod val="80000"/>
                  <a:lumOff val="20000"/>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Tables'!$CI$17:$CI$27</c:f>
              <c:numCache>
                <c:formatCode>#,##0</c:formatCode>
                <c:ptCount val="10"/>
                <c:pt idx="0">
                  <c:v>184464</c:v>
                </c:pt>
                <c:pt idx="3">
                  <c:v>294903</c:v>
                </c:pt>
                <c:pt idx="4">
                  <c:v>1629663</c:v>
                </c:pt>
                <c:pt idx="7">
                  <c:v>1555218</c:v>
                </c:pt>
                <c:pt idx="8">
                  <c:v>26397</c:v>
                </c:pt>
                <c:pt idx="9">
                  <c:v>539532</c:v>
                </c:pt>
              </c:numCache>
            </c:numRef>
          </c:val>
          <c:extLst>
            <c:ext xmlns:c16="http://schemas.microsoft.com/office/drawing/2014/chart" uri="{C3380CC4-5D6E-409C-BE32-E72D297353CC}">
              <c16:uniqueId val="{00000008-F7E8-40EC-82F5-46A54E908859}"/>
            </c:ext>
          </c:extLst>
        </c:ser>
        <c:ser>
          <c:idx val="9"/>
          <c:order val="9"/>
          <c:tx>
            <c:strRef>
              <c:f>'Pivot Tables'!$CJ$15:$CJ$16</c:f>
              <c:strCache>
                <c:ptCount val="1"/>
                <c:pt idx="0">
                  <c:v>White Choc</c:v>
                </c:pt>
              </c:strCache>
            </c:strRef>
          </c:tx>
          <c:spPr>
            <a:solidFill>
              <a:schemeClr val="accent1">
                <a:lumMod val="80000"/>
                <a:alpha val="88000"/>
              </a:schemeClr>
            </a:solidFill>
            <a:ln>
              <a:solidFill>
                <a:schemeClr val="accent1">
                  <a:lumMod val="80000"/>
                  <a:lumMod val="50000"/>
                </a:schemeClr>
              </a:solidFill>
            </a:ln>
            <a:effectLst/>
            <a:scene3d>
              <a:camera prst="orthographicFront"/>
              <a:lightRig rig="threePt" dir="t"/>
            </a:scene3d>
            <a:sp3d prstMaterial="flat">
              <a:contourClr>
                <a:schemeClr val="accent1">
                  <a:lumMod val="80000"/>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Tables'!$CJ$17:$CJ$27</c:f>
              <c:numCache>
                <c:formatCode>#,##0</c:formatCode>
                <c:ptCount val="10"/>
                <c:pt idx="0">
                  <c:v>1538292</c:v>
                </c:pt>
                <c:pt idx="1">
                  <c:v>1532013</c:v>
                </c:pt>
                <c:pt idx="2">
                  <c:v>971397</c:v>
                </c:pt>
                <c:pt idx="3">
                  <c:v>904575</c:v>
                </c:pt>
                <c:pt idx="4">
                  <c:v>824670</c:v>
                </c:pt>
                <c:pt idx="5">
                  <c:v>391860</c:v>
                </c:pt>
                <c:pt idx="6">
                  <c:v>150528</c:v>
                </c:pt>
                <c:pt idx="7">
                  <c:v>132804</c:v>
                </c:pt>
                <c:pt idx="8">
                  <c:v>3234</c:v>
                </c:pt>
              </c:numCache>
            </c:numRef>
          </c:val>
          <c:extLst>
            <c:ext xmlns:c16="http://schemas.microsoft.com/office/drawing/2014/chart" uri="{C3380CC4-5D6E-409C-BE32-E72D297353CC}">
              <c16:uniqueId val="{00000009-F7E8-40EC-82F5-46A54E908859}"/>
            </c:ext>
          </c:extLst>
        </c:ser>
        <c:dLbls>
          <c:showLegendKey val="0"/>
          <c:showVal val="0"/>
          <c:showCatName val="0"/>
          <c:showSerName val="0"/>
          <c:showPercent val="0"/>
          <c:showBubbleSize val="0"/>
        </c:dLbls>
        <c:gapWidth val="84"/>
        <c:gapDepth val="53"/>
        <c:shape val="box"/>
        <c:axId val="132574992"/>
        <c:axId val="132554352"/>
        <c:axId val="0"/>
      </c:bar3DChart>
      <c:catAx>
        <c:axId val="132574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crossAx val="132554352"/>
        <c:crosses val="autoZero"/>
        <c:auto val="1"/>
        <c:lblAlgn val="ctr"/>
        <c:lblOffset val="100"/>
        <c:noMultiLvlLbl val="0"/>
      </c:catAx>
      <c:valAx>
        <c:axId val="132554352"/>
        <c:scaling>
          <c:orientation val="minMax"/>
        </c:scaling>
        <c:delete val="1"/>
        <c:axPos val="b"/>
        <c:numFmt formatCode="#,##0" sourceLinked="1"/>
        <c:majorTickMark val="out"/>
        <c:minorTickMark val="none"/>
        <c:tickLblPos val="nextTo"/>
        <c:crossAx val="13257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nchor="ctr" anchorCtr="0"/>
    <a:lstStyle/>
    <a:p>
      <a:pPr>
        <a:defRPr>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_task_dashpourd(2).xlsx]Pivot Tables!PivotTable11</c:name>
    <c:fmtId val="8"/>
  </c:pivotSource>
  <c:chart>
    <c:title>
      <c:tx>
        <c:rich>
          <a:bodyPr rot="0" spcFirstLastPara="1" vertOverflow="ellipsis" vert="horz" wrap="square" anchor="ctr" anchorCtr="1"/>
          <a:lstStyle/>
          <a:p>
            <a:pPr>
              <a:defRPr lang="en-US" sz="2400" b="1" i="0" u="none" strike="noStrike" kern="1200" cap="all" spc="100" baseline="0">
                <a:gradFill>
                  <a:gsLst>
                    <a:gs pos="3000">
                      <a:srgbClr val="E7E6E6">
                        <a:lumMod val="10000"/>
                      </a:srgbClr>
                    </a:gs>
                    <a:gs pos="36000">
                      <a:sysClr val="windowText" lastClr="000000">
                        <a:lumMod val="75000"/>
                        <a:lumOff val="25000"/>
                      </a:sysClr>
                    </a:gs>
                    <a:gs pos="71000">
                      <a:srgbClr val="E7E6E6">
                        <a:lumMod val="50000"/>
                      </a:srgbClr>
                    </a:gs>
                    <a:gs pos="96000">
                      <a:srgbClr val="E7E6E6"/>
                    </a:gs>
                  </a:gsLst>
                  <a:lin ang="5400000" scaled="1"/>
                </a:gradFill>
                <a:effectLst>
                  <a:outerShdw blurRad="50800" dist="38100" dir="5400000" algn="t" rotWithShape="0">
                    <a:prstClr val="black">
                      <a:alpha val="40000"/>
                    </a:prstClr>
                  </a:outerShdw>
                </a:effectLst>
                <a:latin typeface="+mn-lt"/>
                <a:ea typeface="+mn-ea"/>
                <a:cs typeface="+mn-cs"/>
              </a:defRPr>
            </a:pPr>
            <a:r>
              <a:rPr lang="en-US" sz="2400" b="1" i="0" u="none" strike="noStrike" kern="1200" cap="all" baseline="0">
                <a:gradFill>
                  <a:gsLst>
                    <a:gs pos="3000">
                      <a:srgbClr val="E7E6E6">
                        <a:lumMod val="10000"/>
                      </a:srgbClr>
                    </a:gs>
                    <a:gs pos="36000">
                      <a:sysClr val="windowText" lastClr="000000">
                        <a:lumMod val="75000"/>
                        <a:lumOff val="25000"/>
                      </a:sysClr>
                    </a:gs>
                    <a:gs pos="71000">
                      <a:srgbClr val="E7E6E6">
                        <a:lumMod val="50000"/>
                      </a:srgbClr>
                    </a:gs>
                    <a:gs pos="96000">
                      <a:srgbClr val="E7E6E6"/>
                    </a:gs>
                  </a:gsLst>
                  <a:lin ang="5400000" scaled="1"/>
                </a:gradFill>
                <a:latin typeface="+mn-lt"/>
                <a:ea typeface="+mn-ea"/>
                <a:cs typeface="+mn-cs"/>
              </a:rPr>
              <a:t>Total Sales per city</a:t>
            </a:r>
          </a:p>
        </c:rich>
      </c:tx>
      <c:overlay val="0"/>
      <c:spPr>
        <a:noFill/>
        <a:ln>
          <a:noFill/>
        </a:ln>
        <a:effectLst/>
      </c:spPr>
      <c:txPr>
        <a:bodyPr rot="0" spcFirstLastPara="1" vertOverflow="ellipsis" vert="horz" wrap="square" anchor="ctr" anchorCtr="1"/>
        <a:lstStyle/>
        <a:p>
          <a:pPr>
            <a:defRPr lang="en-US" sz="2400" b="1" i="0" u="none" strike="noStrike" kern="1200" cap="all" spc="100" baseline="0">
              <a:gradFill>
                <a:gsLst>
                  <a:gs pos="3000">
                    <a:srgbClr val="E7E6E6">
                      <a:lumMod val="10000"/>
                    </a:srgbClr>
                  </a:gs>
                  <a:gs pos="36000">
                    <a:sysClr val="windowText" lastClr="000000">
                      <a:lumMod val="75000"/>
                      <a:lumOff val="25000"/>
                    </a:sysClr>
                  </a:gs>
                  <a:gs pos="71000">
                    <a:srgbClr val="E7E6E6">
                      <a:lumMod val="50000"/>
                    </a:srgbClr>
                  </a:gs>
                  <a:gs pos="96000">
                    <a:srgbClr val="E7E6E6"/>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Tables'!$AX$6:$AX$7</c:f>
              <c:strCache>
                <c:ptCount val="1"/>
                <c:pt idx="0">
                  <c:v>White Choc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Tables'!$AX$8:$AX$14</c:f>
              <c:numCache>
                <c:formatCode>#,##0</c:formatCode>
                <c:ptCount val="6"/>
                <c:pt idx="0">
                  <c:v>428326.5</c:v>
                </c:pt>
                <c:pt idx="1">
                  <c:v>576576</c:v>
                </c:pt>
                <c:pt idx="2">
                  <c:v>250842.375</c:v>
                </c:pt>
                <c:pt idx="3">
                  <c:v>179193</c:v>
                </c:pt>
                <c:pt idx="4">
                  <c:v>641298</c:v>
                </c:pt>
                <c:pt idx="5">
                  <c:v>182644</c:v>
                </c:pt>
              </c:numCache>
            </c:numRef>
          </c:val>
          <c:extLst>
            <c:ext xmlns:c16="http://schemas.microsoft.com/office/drawing/2014/chart" uri="{C3380CC4-5D6E-409C-BE32-E72D297353CC}">
              <c16:uniqueId val="{00000000-5636-45DF-9297-09A4F75151DC}"/>
            </c:ext>
          </c:extLst>
        </c:ser>
        <c:ser>
          <c:idx val="1"/>
          <c:order val="1"/>
          <c:tx>
            <c:strRef>
              <c:f>'Pivot Tables'!$AY$6:$AY$7</c:f>
              <c:strCache>
                <c:ptCount val="1"/>
                <c:pt idx="0">
                  <c:v>Spicy Special Slims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Tables'!$AY$8:$AY$14</c:f>
              <c:numCache>
                <c:formatCode>#,##0</c:formatCode>
                <c:ptCount val="6"/>
                <c:pt idx="0">
                  <c:v>44905</c:v>
                </c:pt>
                <c:pt idx="1">
                  <c:v>129276</c:v>
                </c:pt>
                <c:pt idx="2">
                  <c:v>382683</c:v>
                </c:pt>
                <c:pt idx="3">
                  <c:v>31311</c:v>
                </c:pt>
                <c:pt idx="4">
                  <c:v>1492522.5</c:v>
                </c:pt>
                <c:pt idx="5">
                  <c:v>184464</c:v>
                </c:pt>
              </c:numCache>
            </c:numRef>
          </c:val>
          <c:extLst>
            <c:ext xmlns:c16="http://schemas.microsoft.com/office/drawing/2014/chart" uri="{C3380CC4-5D6E-409C-BE32-E72D297353CC}">
              <c16:uniqueId val="{00000001-5636-45DF-9297-09A4F75151DC}"/>
            </c:ext>
          </c:extLst>
        </c:ser>
        <c:ser>
          <c:idx val="2"/>
          <c:order val="2"/>
          <c:tx>
            <c:strRef>
              <c:f>'Pivot Tables'!$AZ$6:$AZ$7</c:f>
              <c:strCache>
                <c:ptCount val="1"/>
                <c:pt idx="0">
                  <c:v>Organic Choco Syrup</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Tables'!$AZ$8:$AZ$14</c:f>
              <c:numCache>
                <c:formatCode>#,##0</c:formatCode>
                <c:ptCount val="6"/>
                <c:pt idx="0">
                  <c:v>570276</c:v>
                </c:pt>
                <c:pt idx="1">
                  <c:v>524181</c:v>
                </c:pt>
                <c:pt idx="2">
                  <c:v>231336</c:v>
                </c:pt>
                <c:pt idx="3">
                  <c:v>958534.5</c:v>
                </c:pt>
                <c:pt idx="4">
                  <c:v>338380</c:v>
                </c:pt>
                <c:pt idx="5">
                  <c:v>444605</c:v>
                </c:pt>
              </c:numCache>
            </c:numRef>
          </c:val>
          <c:extLst>
            <c:ext xmlns:c16="http://schemas.microsoft.com/office/drawing/2014/chart" uri="{C3380CC4-5D6E-409C-BE32-E72D297353CC}">
              <c16:uniqueId val="{00000002-5636-45DF-9297-09A4F75151DC}"/>
            </c:ext>
          </c:extLst>
        </c:ser>
        <c:ser>
          <c:idx val="3"/>
          <c:order val="3"/>
          <c:tx>
            <c:strRef>
              <c:f>'Pivot Tables'!$BA$6:$BA$7</c:f>
              <c:strCache>
                <c:ptCount val="1"/>
                <c:pt idx="0">
                  <c:v>Mint Chip Choco</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Tables'!$BA$8:$BA$14</c:f>
              <c:numCache>
                <c:formatCode>#,##0</c:formatCode>
                <c:ptCount val="6"/>
                <c:pt idx="0">
                  <c:v>1132645.5</c:v>
                </c:pt>
                <c:pt idx="1">
                  <c:v>439897.5</c:v>
                </c:pt>
                <c:pt idx="2">
                  <c:v>161574</c:v>
                </c:pt>
                <c:pt idx="3">
                  <c:v>400687</c:v>
                </c:pt>
                <c:pt idx="4">
                  <c:v>119700</c:v>
                </c:pt>
                <c:pt idx="5">
                  <c:v>267582</c:v>
                </c:pt>
              </c:numCache>
            </c:numRef>
          </c:val>
          <c:extLst>
            <c:ext xmlns:c16="http://schemas.microsoft.com/office/drawing/2014/chart" uri="{C3380CC4-5D6E-409C-BE32-E72D297353CC}">
              <c16:uniqueId val="{00000003-5636-45DF-9297-09A4F75151DC}"/>
            </c:ext>
          </c:extLst>
        </c:ser>
        <c:ser>
          <c:idx val="4"/>
          <c:order val="4"/>
          <c:tx>
            <c:strRef>
              <c:f>'Pivot Tables'!$BB$6:$BB$7</c:f>
              <c:strCache>
                <c:ptCount val="1"/>
                <c:pt idx="0">
                  <c:v>Milk Bars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Tables'!$BB$8:$BB$14</c:f>
              <c:numCache>
                <c:formatCode>#,##0</c:formatCode>
                <c:ptCount val="6"/>
                <c:pt idx="1">
                  <c:v>328440</c:v>
                </c:pt>
                <c:pt idx="2">
                  <c:v>464247</c:v>
                </c:pt>
                <c:pt idx="3">
                  <c:v>771741.6</c:v>
                </c:pt>
                <c:pt idx="5">
                  <c:v>13608</c:v>
                </c:pt>
              </c:numCache>
            </c:numRef>
          </c:val>
          <c:extLst>
            <c:ext xmlns:c16="http://schemas.microsoft.com/office/drawing/2014/chart" uri="{C3380CC4-5D6E-409C-BE32-E72D297353CC}">
              <c16:uniqueId val="{00000004-5636-45DF-9297-09A4F75151DC}"/>
            </c:ext>
          </c:extLst>
        </c:ser>
        <c:ser>
          <c:idx val="5"/>
          <c:order val="5"/>
          <c:tx>
            <c:strRef>
              <c:f>'Pivot Tables'!$BC$6:$BC$7</c:f>
              <c:strCache>
                <c:ptCount val="1"/>
                <c:pt idx="0">
                  <c:v>Fruit &amp; Nut Bars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Tables'!$BC$8:$BC$14</c:f>
              <c:numCache>
                <c:formatCode>#,##0</c:formatCode>
                <c:ptCount val="6"/>
                <c:pt idx="0">
                  <c:v>443464</c:v>
                </c:pt>
                <c:pt idx="1">
                  <c:v>157794</c:v>
                </c:pt>
                <c:pt idx="2">
                  <c:v>536917.5</c:v>
                </c:pt>
                <c:pt idx="3">
                  <c:v>518710.5</c:v>
                </c:pt>
                <c:pt idx="4">
                  <c:v>22680</c:v>
                </c:pt>
                <c:pt idx="5">
                  <c:v>526917</c:v>
                </c:pt>
              </c:numCache>
            </c:numRef>
          </c:val>
          <c:extLst>
            <c:ext xmlns:c16="http://schemas.microsoft.com/office/drawing/2014/chart" uri="{C3380CC4-5D6E-409C-BE32-E72D297353CC}">
              <c16:uniqueId val="{00000005-5636-45DF-9297-09A4F75151DC}"/>
            </c:ext>
          </c:extLst>
        </c:ser>
        <c:ser>
          <c:idx val="6"/>
          <c:order val="6"/>
          <c:tx>
            <c:strRef>
              <c:f>'Pivot Tables'!$BD$6:$BD$7</c:f>
              <c:strCache>
                <c:ptCount val="1"/>
                <c:pt idx="0">
                  <c:v>Eclairs</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Tables'!$BD$8:$BD$14</c:f>
              <c:numCache>
                <c:formatCode>#,##0</c:formatCode>
                <c:ptCount val="6"/>
                <c:pt idx="0">
                  <c:v>1022245</c:v>
                </c:pt>
                <c:pt idx="1">
                  <c:v>481467</c:v>
                </c:pt>
                <c:pt idx="2">
                  <c:v>21672</c:v>
                </c:pt>
                <c:pt idx="3">
                  <c:v>648788</c:v>
                </c:pt>
                <c:pt idx="4">
                  <c:v>627522</c:v>
                </c:pt>
                <c:pt idx="5">
                  <c:v>308937</c:v>
                </c:pt>
              </c:numCache>
            </c:numRef>
          </c:val>
          <c:extLst>
            <c:ext xmlns:c16="http://schemas.microsoft.com/office/drawing/2014/chart" uri="{C3380CC4-5D6E-409C-BE32-E72D297353CC}">
              <c16:uniqueId val="{00000006-5636-45DF-9297-09A4F75151DC}"/>
            </c:ext>
          </c:extLst>
        </c:ser>
        <c:ser>
          <c:idx val="7"/>
          <c:order val="7"/>
          <c:tx>
            <c:strRef>
              <c:f>'Pivot Tables'!$BE$6:$BE$7</c:f>
              <c:strCache>
                <c:ptCount val="1"/>
                <c:pt idx="0">
                  <c:v>Almond Choco</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Tables'!$BE$8:$BE$14</c:f>
              <c:numCache>
                <c:formatCode>#,##0</c:formatCode>
                <c:ptCount val="6"/>
                <c:pt idx="0">
                  <c:v>198460.5</c:v>
                </c:pt>
                <c:pt idx="1">
                  <c:v>229691</c:v>
                </c:pt>
                <c:pt idx="2">
                  <c:v>682139.5</c:v>
                </c:pt>
                <c:pt idx="3">
                  <c:v>608286</c:v>
                </c:pt>
                <c:pt idx="5">
                  <c:v>25200</c:v>
                </c:pt>
              </c:numCache>
            </c:numRef>
          </c:val>
          <c:extLst>
            <c:ext xmlns:c16="http://schemas.microsoft.com/office/drawing/2014/chart" uri="{C3380CC4-5D6E-409C-BE32-E72D297353CC}">
              <c16:uniqueId val="{00000007-5636-45DF-9297-09A4F75151DC}"/>
            </c:ext>
          </c:extLst>
        </c:ser>
        <c:ser>
          <c:idx val="8"/>
          <c:order val="8"/>
          <c:tx>
            <c:strRef>
              <c:f>'Pivot Tables'!$BF$6:$BF$7</c:f>
              <c:strCache>
                <c:ptCount val="1"/>
                <c:pt idx="0">
                  <c:v>99% Dark &amp; Pure</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Tables'!$BF$8:$BF$14</c:f>
              <c:numCache>
                <c:formatCode>#,##0</c:formatCode>
                <c:ptCount val="6"/>
                <c:pt idx="0">
                  <c:v>175707</c:v>
                </c:pt>
                <c:pt idx="1">
                  <c:v>389662</c:v>
                </c:pt>
                <c:pt idx="2">
                  <c:v>919632</c:v>
                </c:pt>
                <c:pt idx="3">
                  <c:v>417886</c:v>
                </c:pt>
                <c:pt idx="5">
                  <c:v>703137.75</c:v>
                </c:pt>
              </c:numCache>
            </c:numRef>
          </c:val>
          <c:extLst>
            <c:ext xmlns:c16="http://schemas.microsoft.com/office/drawing/2014/chart" uri="{C3380CC4-5D6E-409C-BE32-E72D297353CC}">
              <c16:uniqueId val="{00000008-5636-45DF-9297-09A4F75151DC}"/>
            </c:ext>
          </c:extLst>
        </c:ser>
        <c:ser>
          <c:idx val="9"/>
          <c:order val="9"/>
          <c:tx>
            <c:strRef>
              <c:f>'Pivot Tables'!$BG$6:$BG$7</c:f>
              <c:strCache>
                <c:ptCount val="1"/>
                <c:pt idx="0">
                  <c:v>85% Dark Bars</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Tables'!$BG$8:$BG$14</c:f>
              <c:numCache>
                <c:formatCode>#,##0</c:formatCode>
                <c:ptCount val="6"/>
                <c:pt idx="0">
                  <c:v>652596</c:v>
                </c:pt>
                <c:pt idx="1">
                  <c:v>198513</c:v>
                </c:pt>
                <c:pt idx="2">
                  <c:v>139996.5</c:v>
                </c:pt>
                <c:pt idx="4">
                  <c:v>631855</c:v>
                </c:pt>
                <c:pt idx="5">
                  <c:v>1674918</c:v>
                </c:pt>
              </c:numCache>
            </c:numRef>
          </c:val>
          <c:extLst>
            <c:ext xmlns:c16="http://schemas.microsoft.com/office/drawing/2014/chart" uri="{C3380CC4-5D6E-409C-BE32-E72D297353CC}">
              <c16:uniqueId val="{00000009-5636-45DF-9297-09A4F75151DC}"/>
            </c:ext>
          </c:extLst>
        </c:ser>
        <c:dLbls>
          <c:showLegendKey val="0"/>
          <c:showVal val="0"/>
          <c:showCatName val="0"/>
          <c:showSerName val="0"/>
          <c:showPercent val="0"/>
          <c:showBubbleSize val="0"/>
        </c:dLbls>
        <c:gapWidth val="150"/>
        <c:shape val="box"/>
        <c:axId val="1971605696"/>
        <c:axId val="1971606656"/>
        <c:axId val="0"/>
      </c:bar3DChart>
      <c:catAx>
        <c:axId val="1971605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2">
                    <a:lumMod val="10000"/>
                  </a:schemeClr>
                </a:solidFill>
                <a:latin typeface="+mn-lt"/>
                <a:ea typeface="+mn-ea"/>
                <a:cs typeface="+mn-cs"/>
              </a:defRPr>
            </a:pPr>
            <a:endParaRPr lang="en-US"/>
          </a:p>
        </c:txPr>
        <c:crossAx val="1971606656"/>
        <c:crosses val="autoZero"/>
        <c:auto val="1"/>
        <c:lblAlgn val="ctr"/>
        <c:lblOffset val="100"/>
        <c:noMultiLvlLbl val="0"/>
      </c:catAx>
      <c:valAx>
        <c:axId val="1971606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cap="all" baseline="0">
                <a:gradFill>
                  <a:gsLst>
                    <a:gs pos="3000">
                      <a:schemeClr val="bg2">
                        <a:lumMod val="10000"/>
                      </a:schemeClr>
                    </a:gs>
                    <a:gs pos="36000">
                      <a:schemeClr val="tx1">
                        <a:lumMod val="75000"/>
                        <a:lumOff val="25000"/>
                      </a:schemeClr>
                    </a:gs>
                    <a:gs pos="65000">
                      <a:schemeClr val="bg2">
                        <a:lumMod val="50000"/>
                      </a:schemeClr>
                    </a:gs>
                    <a:gs pos="96000">
                      <a:schemeClr val="bg2">
                        <a:lumMod val="25000"/>
                      </a:schemeClr>
                    </a:gs>
                  </a:gsLst>
                  <a:lin ang="5400000" scaled="1"/>
                </a:gradFill>
                <a:latin typeface="+mn-lt"/>
                <a:ea typeface="+mn-ea"/>
                <a:cs typeface="+mn-cs"/>
              </a:defRPr>
            </a:pPr>
            <a:endParaRPr lang="en-US"/>
          </a:p>
        </c:txPr>
        <c:crossAx val="1971605696"/>
        <c:crosses val="autoZero"/>
        <c:crossBetween val="between"/>
      </c:valAx>
      <c:spPr>
        <a:noFill/>
        <a:ln>
          <a:noFill/>
        </a:ln>
        <a:effectLst/>
      </c:spPr>
    </c:plotArea>
    <c:legend>
      <c:legendPos val="r"/>
      <c:layout>
        <c:manualLayout>
          <c:xMode val="edge"/>
          <c:yMode val="edge"/>
          <c:x val="0.82121747733833417"/>
          <c:y val="0.2346090991592413"/>
          <c:w val="0.16698045906619965"/>
          <c:h val="0.67649015536843971"/>
        </c:manualLayout>
      </c:layout>
      <c:overlay val="0"/>
      <c:spPr>
        <a:noFill/>
        <a:ln>
          <a:noFill/>
        </a:ln>
        <a:effectLst/>
      </c:spPr>
      <c:txPr>
        <a:bodyPr rot="0" spcFirstLastPara="1" vertOverflow="ellipsis" vert="horz" wrap="square" anchor="ctr" anchorCtr="1"/>
        <a:lstStyle/>
        <a:p>
          <a:pPr algn="ctr">
            <a:defRPr lang="en-US" sz="600" b="1" i="0" u="none" strike="noStrike" kern="1200" cap="all" baseline="0">
              <a:gradFill>
                <a:gsLst>
                  <a:gs pos="3000">
                    <a:schemeClr val="bg2">
                      <a:lumMod val="10000"/>
                    </a:schemeClr>
                  </a:gs>
                  <a:gs pos="36000">
                    <a:schemeClr val="tx1">
                      <a:lumMod val="75000"/>
                      <a:lumOff val="25000"/>
                    </a:schemeClr>
                  </a:gs>
                  <a:gs pos="65000">
                    <a:schemeClr val="bg2">
                      <a:lumMod val="50000"/>
                    </a:schemeClr>
                  </a:gs>
                  <a:gs pos="96000">
                    <a:schemeClr val="bg2">
                      <a:lumMod val="25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_task_dashpourd(2).xlsx]Pivot Tables!PivotTable4</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656361630685491E-2"/>
          <c:y val="2.4657776363813111E-2"/>
          <c:w val="0.89050657205398731"/>
          <c:h val="0.84647242327032357"/>
        </c:manualLayout>
      </c:layout>
      <c:lineChart>
        <c:grouping val="standard"/>
        <c:varyColors val="0"/>
        <c:ser>
          <c:idx val="0"/>
          <c:order val="0"/>
          <c:tx>
            <c:strRef>
              <c:f>'Pivot Tables'!$P$3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Tables'!$O$4:$O$15</c:f>
              <c:strCache>
                <c:ptCount val="11"/>
                <c:pt idx="0">
                  <c:v>Jan</c:v>
                </c:pt>
                <c:pt idx="1">
                  <c:v>Jun</c:v>
                </c:pt>
                <c:pt idx="2">
                  <c:v>Mar</c:v>
                </c:pt>
                <c:pt idx="3">
                  <c:v>Apr</c:v>
                </c:pt>
                <c:pt idx="4">
                  <c:v>Oct</c:v>
                </c:pt>
                <c:pt idx="5">
                  <c:v>May</c:v>
                </c:pt>
                <c:pt idx="6">
                  <c:v>Jul</c:v>
                </c:pt>
                <c:pt idx="7">
                  <c:v>Feb</c:v>
                </c:pt>
                <c:pt idx="8">
                  <c:v>Aug</c:v>
                </c:pt>
                <c:pt idx="9">
                  <c:v>Sep</c:v>
                </c:pt>
                <c:pt idx="10">
                  <c:v>Nov</c:v>
                </c:pt>
              </c:strCache>
            </c:strRef>
          </c:cat>
          <c:val>
            <c:numRef>
              <c:f>'Pivot Tables'!$P$4:$P$15</c:f>
              <c:numCache>
                <c:formatCode>General</c:formatCode>
                <c:ptCount val="11"/>
                <c:pt idx="0">
                  <c:v>28072401</c:v>
                </c:pt>
                <c:pt idx="1">
                  <c:v>22639596</c:v>
                </c:pt>
                <c:pt idx="2">
                  <c:v>22513827</c:v>
                </c:pt>
                <c:pt idx="3">
                  <c:v>20188182</c:v>
                </c:pt>
                <c:pt idx="4">
                  <c:v>19977657</c:v>
                </c:pt>
                <c:pt idx="5">
                  <c:v>19416075</c:v>
                </c:pt>
                <c:pt idx="6">
                  <c:v>17877531</c:v>
                </c:pt>
                <c:pt idx="7">
                  <c:v>15279306</c:v>
                </c:pt>
                <c:pt idx="8">
                  <c:v>14735826</c:v>
                </c:pt>
                <c:pt idx="9">
                  <c:v>14141106</c:v>
                </c:pt>
                <c:pt idx="10">
                  <c:v>8697192</c:v>
                </c:pt>
              </c:numCache>
            </c:numRef>
          </c:val>
          <c:smooth val="0"/>
          <c:extLst>
            <c:ext xmlns:c16="http://schemas.microsoft.com/office/drawing/2014/chart" uri="{C3380CC4-5D6E-409C-BE32-E72D297353CC}">
              <c16:uniqueId val="{00000000-C15D-4AE8-9878-DD8391AFFF57}"/>
            </c:ext>
          </c:extLst>
        </c:ser>
        <c:dLbls>
          <c:showLegendKey val="0"/>
          <c:showVal val="0"/>
          <c:showCatName val="0"/>
          <c:showSerName val="0"/>
          <c:showPercent val="0"/>
          <c:showBubbleSize val="0"/>
        </c:dLbls>
        <c:marker val="1"/>
        <c:smooth val="0"/>
        <c:axId val="1600666352"/>
        <c:axId val="1600662032"/>
      </c:lineChart>
      <c:catAx>
        <c:axId val="16006663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0662032"/>
        <c:crosses val="autoZero"/>
        <c:auto val="1"/>
        <c:lblAlgn val="ctr"/>
        <c:lblOffset val="100"/>
        <c:noMultiLvlLbl val="0"/>
      </c:catAx>
      <c:valAx>
        <c:axId val="1600662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066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_task_dashpourd(2).xlsx]Pivot Tables!PivotTable3</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0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20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salesman total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20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476356080489939"/>
          <c:y val="6.6814114433605978E-2"/>
          <c:w val="0.80895538057742777"/>
          <c:h val="0.79628229126164818"/>
        </c:manualLayout>
      </c:layout>
      <c:bar3DChart>
        <c:barDir val="col"/>
        <c:grouping val="stacked"/>
        <c:varyColors val="0"/>
        <c:ser>
          <c:idx val="0"/>
          <c:order val="0"/>
          <c:tx>
            <c:strRef>
              <c:f>'Pivot Tables'!$AH$4</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Tables'!$AG$5:$AG$15</c:f>
              <c:strCache>
                <c:ptCount val="10"/>
                <c:pt idx="0">
                  <c:v>Abd alrahman mohamed</c:v>
                </c:pt>
                <c:pt idx="1">
                  <c:v>Ahmed said</c:v>
                </c:pt>
                <c:pt idx="2">
                  <c:v>Samira mostafa</c:v>
                </c:pt>
                <c:pt idx="3">
                  <c:v>Husein Augar</c:v>
                </c:pt>
                <c:pt idx="4">
                  <c:v>Hassan ahmed</c:v>
                </c:pt>
                <c:pt idx="5">
                  <c:v>Mohamed galal</c:v>
                </c:pt>
                <c:pt idx="6">
                  <c:v>Hesham gamal</c:v>
                </c:pt>
                <c:pt idx="7">
                  <c:v>Mohamed Ali</c:v>
                </c:pt>
                <c:pt idx="8">
                  <c:v>Rahma mostafa</c:v>
                </c:pt>
                <c:pt idx="9">
                  <c:v>Sara khaled</c:v>
                </c:pt>
              </c:strCache>
            </c:strRef>
          </c:cat>
          <c:val>
            <c:numRef>
              <c:f>'Pivot Tables'!$AH$5:$AH$15</c:f>
              <c:numCache>
                <c:formatCode>0.00%</c:formatCode>
                <c:ptCount val="10"/>
                <c:pt idx="0">
                  <c:v>7.7326695499807627E-2</c:v>
                </c:pt>
                <c:pt idx="1">
                  <c:v>8.102890546627696E-2</c:v>
                </c:pt>
                <c:pt idx="2">
                  <c:v>8.2692284478049063E-2</c:v>
                </c:pt>
                <c:pt idx="3">
                  <c:v>0.10039650985486549</c:v>
                </c:pt>
                <c:pt idx="4">
                  <c:v>0.10611320159809019</c:v>
                </c:pt>
                <c:pt idx="5">
                  <c:v>0.10614126505741299</c:v>
                </c:pt>
                <c:pt idx="6">
                  <c:v>0.10654343919138444</c:v>
                </c:pt>
                <c:pt idx="7">
                  <c:v>0.10699162914468663</c:v>
                </c:pt>
                <c:pt idx="8">
                  <c:v>0.1118130759006178</c:v>
                </c:pt>
                <c:pt idx="9">
                  <c:v>0.12095299380880881</c:v>
                </c:pt>
              </c:numCache>
            </c:numRef>
          </c:val>
          <c:extLst>
            <c:ext xmlns:c16="http://schemas.microsoft.com/office/drawing/2014/chart" uri="{C3380CC4-5D6E-409C-BE32-E72D297353CC}">
              <c16:uniqueId val="{00000000-BF1D-4350-BD64-595710C86D26}"/>
            </c:ext>
          </c:extLst>
        </c:ser>
        <c:dLbls>
          <c:showLegendKey val="0"/>
          <c:showVal val="0"/>
          <c:showCatName val="0"/>
          <c:showSerName val="0"/>
          <c:showPercent val="0"/>
          <c:showBubbleSize val="0"/>
        </c:dLbls>
        <c:gapWidth val="150"/>
        <c:shape val="box"/>
        <c:axId val="1487014911"/>
        <c:axId val="1487012511"/>
        <c:axId val="0"/>
      </c:bar3DChart>
      <c:catAx>
        <c:axId val="1487014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7012511"/>
        <c:crosses val="autoZero"/>
        <c:auto val="1"/>
        <c:lblAlgn val="ctr"/>
        <c:lblOffset val="100"/>
        <c:noMultiLvlLbl val="0"/>
      </c:catAx>
      <c:valAx>
        <c:axId val="14870125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48701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_task_dashpourd(2).xlsx]Pivot Tables!PivotTable1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Total Units per sales 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0598542421612"/>
          <c:y val="0.14012773165912434"/>
          <c:w val="0.85821294295224737"/>
          <c:h val="0.77763799984759951"/>
        </c:manualLayout>
      </c:layout>
      <c:barChart>
        <c:barDir val="bar"/>
        <c:grouping val="clustered"/>
        <c:varyColors val="0"/>
        <c:ser>
          <c:idx val="0"/>
          <c:order val="0"/>
          <c:tx>
            <c:strRef>
              <c:f>'Pivot Tables'!$B$3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Tables'!$A$4:$A$14</c:f>
              <c:strCache>
                <c:ptCount val="10"/>
                <c:pt idx="0">
                  <c:v>Hesham gamal</c:v>
                </c:pt>
                <c:pt idx="1">
                  <c:v>Abd alrahman mohamed</c:v>
                </c:pt>
                <c:pt idx="2">
                  <c:v>Samira mostafa</c:v>
                </c:pt>
                <c:pt idx="3">
                  <c:v>Husein Augar</c:v>
                </c:pt>
                <c:pt idx="4">
                  <c:v>Rahma mostafa</c:v>
                </c:pt>
                <c:pt idx="5">
                  <c:v>Ahmed said</c:v>
                </c:pt>
                <c:pt idx="6">
                  <c:v>Mohamed galal</c:v>
                </c:pt>
                <c:pt idx="7">
                  <c:v>Mohamed Ali</c:v>
                </c:pt>
                <c:pt idx="8">
                  <c:v>Sara khaled</c:v>
                </c:pt>
                <c:pt idx="9">
                  <c:v>Hassan ahmed</c:v>
                </c:pt>
              </c:strCache>
            </c:strRef>
          </c:cat>
          <c:val>
            <c:numRef>
              <c:f>'Pivot Tables'!$B$4:$B$14</c:f>
              <c:numCache>
                <c:formatCode>General</c:formatCode>
                <c:ptCount val="10"/>
                <c:pt idx="0">
                  <c:v>3804</c:v>
                </c:pt>
                <c:pt idx="1">
                  <c:v>4221</c:v>
                </c:pt>
                <c:pt idx="2">
                  <c:v>4245</c:v>
                </c:pt>
                <c:pt idx="3">
                  <c:v>4554</c:v>
                </c:pt>
                <c:pt idx="4">
                  <c:v>4686</c:v>
                </c:pt>
                <c:pt idx="5">
                  <c:v>4704</c:v>
                </c:pt>
                <c:pt idx="6">
                  <c:v>5007</c:v>
                </c:pt>
                <c:pt idx="7">
                  <c:v>5154</c:v>
                </c:pt>
                <c:pt idx="8">
                  <c:v>5295</c:v>
                </c:pt>
                <c:pt idx="9">
                  <c:v>6294</c:v>
                </c:pt>
              </c:numCache>
            </c:numRef>
          </c:val>
          <c:extLst>
            <c:ext xmlns:c16="http://schemas.microsoft.com/office/drawing/2014/chart" uri="{C3380CC4-5D6E-409C-BE32-E72D297353CC}">
              <c16:uniqueId val="{00000000-FABF-4E26-8F74-B513EFC1E404}"/>
            </c:ext>
          </c:extLst>
        </c:ser>
        <c:dLbls>
          <c:showLegendKey val="0"/>
          <c:showVal val="0"/>
          <c:showCatName val="0"/>
          <c:showSerName val="0"/>
          <c:showPercent val="0"/>
          <c:showBubbleSize val="0"/>
        </c:dLbls>
        <c:gapWidth val="115"/>
        <c:overlap val="-20"/>
        <c:axId val="1500217440"/>
        <c:axId val="1500219840"/>
      </c:barChart>
      <c:catAx>
        <c:axId val="15002174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2"/>
                </a:solidFill>
                <a:latin typeface="+mn-lt"/>
                <a:ea typeface="+mn-ea"/>
                <a:cs typeface="+mn-cs"/>
              </a:defRPr>
            </a:pPr>
            <a:endParaRPr lang="en-US"/>
          </a:p>
        </c:txPr>
        <c:crossAx val="1500219840"/>
        <c:crosses val="autoZero"/>
        <c:auto val="1"/>
        <c:lblAlgn val="ctr"/>
        <c:lblOffset val="100"/>
        <c:noMultiLvlLbl val="0"/>
      </c:catAx>
      <c:valAx>
        <c:axId val="1500219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021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_task_dashpourd(2).xlsx]Pivot Tables!PivotTable8</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Total sales per rigion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pivotFmt>
      <c:pivotFmt>
        <c:idx val="27"/>
      </c:pivotFmt>
      <c:pivotFmt>
        <c:idx val="2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9"/>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c:spPr>
      </c:pivotFmt>
      <c:pivotFmt>
        <c:idx val="30"/>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c:spPr>
      </c:pivotFmt>
      <c:pivotFmt>
        <c:idx val="31"/>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c:spPr>
      </c:pivotFmt>
      <c:pivotFmt>
        <c:idx val="32"/>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c:spPr>
      </c:pivotFmt>
      <c:pivotFmt>
        <c:idx val="33"/>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c:spPr>
      </c:pivotFmt>
      <c:pivotFmt>
        <c:idx val="34"/>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c:spPr>
      </c:pivotFmt>
    </c:pivotFmts>
    <c:plotArea>
      <c:layout/>
      <c:pieChart>
        <c:varyColors val="1"/>
        <c:ser>
          <c:idx val="0"/>
          <c:order val="0"/>
          <c:tx>
            <c:strRef>
              <c:f>'Pivot Tables'!$Y$3</c:f>
              <c:strCache>
                <c:ptCount val="1"/>
                <c:pt idx="0">
                  <c:v>Total</c:v>
                </c:pt>
              </c:strCache>
            </c:strRef>
          </c:tx>
          <c:dPt>
            <c:idx val="0"/>
            <c:bubble3D val="0"/>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c:spPr>
            <c:extLst>
              <c:ext xmlns:c16="http://schemas.microsoft.com/office/drawing/2014/chart" uri="{C3380CC4-5D6E-409C-BE32-E72D297353CC}">
                <c16:uniqueId val="{00000001-5328-45BA-94CB-02844D657FAB}"/>
              </c:ext>
            </c:extLst>
          </c:dPt>
          <c:dPt>
            <c:idx val="1"/>
            <c:bubble3D val="0"/>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c:spPr>
            <c:extLst>
              <c:ext xmlns:c16="http://schemas.microsoft.com/office/drawing/2014/chart" uri="{C3380CC4-5D6E-409C-BE32-E72D297353CC}">
                <c16:uniqueId val="{00000003-5328-45BA-94CB-02844D657FAB}"/>
              </c:ext>
            </c:extLst>
          </c:dPt>
          <c:dPt>
            <c:idx val="2"/>
            <c:bubble3D val="0"/>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c:spPr>
            <c:extLst>
              <c:ext xmlns:c16="http://schemas.microsoft.com/office/drawing/2014/chart" uri="{C3380CC4-5D6E-409C-BE32-E72D297353CC}">
                <c16:uniqueId val="{00000005-5328-45BA-94CB-02844D657FAB}"/>
              </c:ext>
            </c:extLst>
          </c:dPt>
          <c:dPt>
            <c:idx val="3"/>
            <c:bubble3D val="0"/>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c:spPr>
            <c:extLst>
              <c:ext xmlns:c16="http://schemas.microsoft.com/office/drawing/2014/chart" uri="{C3380CC4-5D6E-409C-BE32-E72D297353CC}">
                <c16:uniqueId val="{00000007-5328-45BA-94CB-02844D657FAB}"/>
              </c:ext>
            </c:extLst>
          </c:dPt>
          <c:dPt>
            <c:idx val="4"/>
            <c:bubble3D val="0"/>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c:spPr>
            <c:extLst>
              <c:ext xmlns:c16="http://schemas.microsoft.com/office/drawing/2014/chart" uri="{C3380CC4-5D6E-409C-BE32-E72D297353CC}">
                <c16:uniqueId val="{00000009-5328-45BA-94CB-02844D657FAB}"/>
              </c:ext>
            </c:extLst>
          </c:dPt>
          <c:dPt>
            <c:idx val="5"/>
            <c:bubble3D val="0"/>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c:spPr>
            <c:extLst>
              <c:ext xmlns:c16="http://schemas.microsoft.com/office/drawing/2014/chart" uri="{C3380CC4-5D6E-409C-BE32-E72D297353CC}">
                <c16:uniqueId val="{0000000B-5328-45BA-94CB-02844D657F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Tables'!$X$4:$X$10</c:f>
              <c:strCache>
                <c:ptCount val="6"/>
                <c:pt idx="0">
                  <c:v>Al Gharbia</c:v>
                </c:pt>
                <c:pt idx="1">
                  <c:v>Al sharqia</c:v>
                </c:pt>
                <c:pt idx="2">
                  <c:v>Alex</c:v>
                </c:pt>
                <c:pt idx="3">
                  <c:v>Cairo</c:v>
                </c:pt>
                <c:pt idx="4">
                  <c:v>Giza</c:v>
                </c:pt>
                <c:pt idx="5">
                  <c:v>Sharm</c:v>
                </c:pt>
              </c:strCache>
            </c:strRef>
          </c:cat>
          <c:val>
            <c:numRef>
              <c:f>'Pivot Tables'!$Y$4:$Y$10</c:f>
              <c:numCache>
                <c:formatCode>0.00%</c:formatCode>
                <c:ptCount val="6"/>
                <c:pt idx="0">
                  <c:v>0.13427993857816689</c:v>
                </c:pt>
                <c:pt idx="1">
                  <c:v>0.21586547037917345</c:v>
                </c:pt>
                <c:pt idx="2">
                  <c:v>0.16510682324838874</c:v>
                </c:pt>
                <c:pt idx="3">
                  <c:v>0.14844104904099834</c:v>
                </c:pt>
                <c:pt idx="4">
                  <c:v>0.10658202644795327</c:v>
                </c:pt>
                <c:pt idx="5">
                  <c:v>0.22972469230531931</c:v>
                </c:pt>
              </c:numCache>
            </c:numRef>
          </c:val>
          <c:extLst>
            <c:ext xmlns:c16="http://schemas.microsoft.com/office/drawing/2014/chart" uri="{C3380CC4-5D6E-409C-BE32-E72D297353CC}">
              <c16:uniqueId val="{0000000C-5328-45BA-94CB-02844D657FA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1"/>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_task_dashpourd(2).xlsx]Pivot Tables!PivotTable2</c:name>
    <c:fmtId val="17"/>
  </c:pivotSource>
  <c:chart>
    <c:title>
      <c:tx>
        <c:rich>
          <a:bodyPr rot="0" spcFirstLastPara="1" vertOverflow="ellipsis" vert="horz" wrap="square" anchor="ctr" anchorCtr="1"/>
          <a:lstStyle/>
          <a:p>
            <a:pPr>
              <a:defRPr lang="en-GB"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GB"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Total sales per most sales  prouduct</a:t>
            </a:r>
          </a:p>
        </c:rich>
      </c:tx>
      <c:overlay val="0"/>
      <c:spPr>
        <a:noFill/>
        <a:ln>
          <a:noFill/>
        </a:ln>
        <a:effectLst/>
      </c:spPr>
      <c:txPr>
        <a:bodyPr rot="0" spcFirstLastPara="1" vertOverflow="ellipsis" vert="horz" wrap="square" anchor="ctr" anchorCtr="1"/>
        <a:lstStyle/>
        <a:p>
          <a:pPr>
            <a:defRPr lang="en-GB"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03829416673276"/>
          <c:y val="0.15848022060511691"/>
          <c:w val="0.56847256547311154"/>
          <c:h val="0.73205214348206471"/>
        </c:manualLayout>
      </c:layout>
      <c:barChart>
        <c:barDir val="bar"/>
        <c:grouping val="clustered"/>
        <c:varyColors val="0"/>
        <c:ser>
          <c:idx val="0"/>
          <c:order val="0"/>
          <c:tx>
            <c:strRef>
              <c:f>'Pivot Tables'!$I$3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Tables'!$H$4:$H$14</c:f>
              <c:strCache>
                <c:ptCount val="10"/>
                <c:pt idx="0">
                  <c:v>Peanut Butter Cubes</c:v>
                </c:pt>
                <c:pt idx="1">
                  <c:v>Raspberry Choco</c:v>
                </c:pt>
                <c:pt idx="2">
                  <c:v>Manuka Honey Choco</c:v>
                </c:pt>
                <c:pt idx="3">
                  <c:v>Baker's Choco Chips</c:v>
                </c:pt>
                <c:pt idx="4">
                  <c:v>Organic Choco Syrup</c:v>
                </c:pt>
                <c:pt idx="5">
                  <c:v>Smooth Sliky Salty</c:v>
                </c:pt>
                <c:pt idx="6">
                  <c:v>70% Dark Bites</c:v>
                </c:pt>
                <c:pt idx="7">
                  <c:v>Orange Choco</c:v>
                </c:pt>
                <c:pt idx="8">
                  <c:v>Choco Coated Almonds</c:v>
                </c:pt>
                <c:pt idx="9">
                  <c:v>Caramel Stuffed Bars</c:v>
                </c:pt>
              </c:strCache>
            </c:strRef>
          </c:cat>
          <c:val>
            <c:numRef>
              <c:f>'Pivot Tables'!$I$4:$I$14</c:f>
              <c:numCache>
                <c:formatCode>#,##0</c:formatCode>
                <c:ptCount val="10"/>
                <c:pt idx="0">
                  <c:v>9393615</c:v>
                </c:pt>
                <c:pt idx="1">
                  <c:v>9409596</c:v>
                </c:pt>
                <c:pt idx="2">
                  <c:v>9762354</c:v>
                </c:pt>
                <c:pt idx="3">
                  <c:v>9790893</c:v>
                </c:pt>
                <c:pt idx="4">
                  <c:v>9836946</c:v>
                </c:pt>
                <c:pt idx="5">
                  <c:v>11980836</c:v>
                </c:pt>
                <c:pt idx="6">
                  <c:v>13848513</c:v>
                </c:pt>
                <c:pt idx="7">
                  <c:v>14105994</c:v>
                </c:pt>
                <c:pt idx="8">
                  <c:v>15386112</c:v>
                </c:pt>
                <c:pt idx="9">
                  <c:v>15466773</c:v>
                </c:pt>
              </c:numCache>
            </c:numRef>
          </c:val>
          <c:extLst>
            <c:ext xmlns:c16="http://schemas.microsoft.com/office/drawing/2014/chart" uri="{C3380CC4-5D6E-409C-BE32-E72D297353CC}">
              <c16:uniqueId val="{00000000-04B7-43CC-90E1-5C4C86D8B8C9}"/>
            </c:ext>
          </c:extLst>
        </c:ser>
        <c:dLbls>
          <c:showLegendKey val="0"/>
          <c:showVal val="0"/>
          <c:showCatName val="0"/>
          <c:showSerName val="0"/>
          <c:showPercent val="0"/>
          <c:showBubbleSize val="0"/>
        </c:dLbls>
        <c:gapWidth val="115"/>
        <c:overlap val="-20"/>
        <c:axId val="1503765808"/>
        <c:axId val="1503766288"/>
      </c:barChart>
      <c:catAx>
        <c:axId val="15037658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700" b="1" i="0" u="none" strike="noStrike" kern="1200" baseline="0">
                <a:solidFill>
                  <a:schemeClr val="bg2"/>
                </a:solidFill>
                <a:latin typeface="+mn-lt"/>
                <a:ea typeface="+mn-ea"/>
                <a:cs typeface="+mn-cs"/>
              </a:defRPr>
            </a:pPr>
            <a:endParaRPr lang="en-US"/>
          </a:p>
        </c:txPr>
        <c:crossAx val="1503766288"/>
        <c:crosses val="autoZero"/>
        <c:auto val="1"/>
        <c:lblAlgn val="ctr"/>
        <c:lblOffset val="100"/>
        <c:noMultiLvlLbl val="0"/>
      </c:catAx>
      <c:valAx>
        <c:axId val="15037662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376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_task_dashpourd(2).xlsx]Pivot Tables!PivotTable10</c:name>
    <c:fmtId val="19"/>
  </c:pivotSource>
  <c:chart>
    <c:title>
      <c:tx>
        <c:rich>
          <a:bodyPr rot="0" spcFirstLastPara="1" vertOverflow="ellipsis" vert="horz" wrap="square" anchor="ctr" anchorCtr="1"/>
          <a:lstStyle/>
          <a:p>
            <a:pPr>
              <a:defRPr sz="1800" b="1" i="0" u="none" strike="noStrike" kern="1200" baseline="0">
                <a:solidFill>
                  <a:schemeClr val="accent5">
                    <a:lumMod val="20000"/>
                    <a:lumOff val="80000"/>
                  </a:schemeClr>
                </a:solidFill>
                <a:latin typeface="+mn-lt"/>
                <a:ea typeface="+mn-ea"/>
                <a:cs typeface="+mn-cs"/>
              </a:defRPr>
            </a:pPr>
            <a:r>
              <a:rPr lang="en-US" sz="2400">
                <a:solidFill>
                  <a:schemeClr val="accent5">
                    <a:lumMod val="20000"/>
                    <a:lumOff val="80000"/>
                  </a:schemeClr>
                </a:solidFill>
              </a:rPr>
              <a:t> Total Sales of less sales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5">
                  <a:lumMod val="20000"/>
                  <a:lumOff val="8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Tables'!$AQ$3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Tables'!$AP$4:$AP$14</c:f>
              <c:strCache>
                <c:ptCount val="10"/>
                <c:pt idx="0">
                  <c:v>Spicy Special Slims</c:v>
                </c:pt>
                <c:pt idx="1">
                  <c:v>85% Dark Bars</c:v>
                </c:pt>
                <c:pt idx="2">
                  <c:v>Mint Chip Choco</c:v>
                </c:pt>
                <c:pt idx="3">
                  <c:v>Almond Choco</c:v>
                </c:pt>
                <c:pt idx="4">
                  <c:v>White Choc</c:v>
                </c:pt>
                <c:pt idx="5">
                  <c:v>99% Dark &amp; Pure</c:v>
                </c:pt>
                <c:pt idx="6">
                  <c:v>Milk Bars</c:v>
                </c:pt>
                <c:pt idx="7">
                  <c:v>Drinking Coco</c:v>
                </c:pt>
                <c:pt idx="8">
                  <c:v>Fruit &amp; Nut Bars</c:v>
                </c:pt>
                <c:pt idx="9">
                  <c:v>50% Dark Bites</c:v>
                </c:pt>
              </c:strCache>
            </c:strRef>
          </c:cat>
          <c:val>
            <c:numRef>
              <c:f>'Pivot Tables'!$AQ$4:$AQ$14</c:f>
              <c:numCache>
                <c:formatCode>#,##0</c:formatCode>
                <c:ptCount val="10"/>
                <c:pt idx="0">
                  <c:v>4230177</c:v>
                </c:pt>
                <c:pt idx="1">
                  <c:v>4900098</c:v>
                </c:pt>
                <c:pt idx="2">
                  <c:v>5980023</c:v>
                </c:pt>
                <c:pt idx="3">
                  <c:v>6420603</c:v>
                </c:pt>
                <c:pt idx="4">
                  <c:v>6449373</c:v>
                </c:pt>
                <c:pt idx="5">
                  <c:v>6681948</c:v>
                </c:pt>
                <c:pt idx="6">
                  <c:v>6986238</c:v>
                </c:pt>
                <c:pt idx="7">
                  <c:v>7484757</c:v>
                </c:pt>
                <c:pt idx="8">
                  <c:v>8347962</c:v>
                </c:pt>
                <c:pt idx="9">
                  <c:v>8874474</c:v>
                </c:pt>
              </c:numCache>
            </c:numRef>
          </c:val>
          <c:extLst>
            <c:ext xmlns:c16="http://schemas.microsoft.com/office/drawing/2014/chart" uri="{C3380CC4-5D6E-409C-BE32-E72D297353CC}">
              <c16:uniqueId val="{00000000-8B49-494A-8C5D-897A5C3AF776}"/>
            </c:ext>
          </c:extLst>
        </c:ser>
        <c:dLbls>
          <c:dLblPos val="ctr"/>
          <c:showLegendKey val="0"/>
          <c:showVal val="1"/>
          <c:showCatName val="0"/>
          <c:showSerName val="0"/>
          <c:showPercent val="0"/>
          <c:showBubbleSize val="0"/>
        </c:dLbls>
        <c:gapWidth val="150"/>
        <c:overlap val="100"/>
        <c:axId val="103548896"/>
        <c:axId val="103560416"/>
      </c:barChart>
      <c:catAx>
        <c:axId val="1035488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crossAx val="103560416"/>
        <c:crosses val="autoZero"/>
        <c:auto val="1"/>
        <c:lblAlgn val="ctr"/>
        <c:lblOffset val="100"/>
        <c:noMultiLvlLbl val="0"/>
      </c:catAx>
      <c:valAx>
        <c:axId val="103560416"/>
        <c:scaling>
          <c:orientation val="minMax"/>
        </c:scaling>
        <c:delete val="1"/>
        <c:axPos val="b"/>
        <c:numFmt formatCode="#,##0" sourceLinked="1"/>
        <c:majorTickMark val="none"/>
        <c:minorTickMark val="none"/>
        <c:tickLblPos val="nextTo"/>
        <c:crossAx val="10354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gradFill>
            <a:gsLst>
              <a:gs pos="3000">
                <a:schemeClr val="bg2">
                  <a:lumMod val="10000"/>
                </a:schemeClr>
              </a:gs>
              <a:gs pos="36000">
                <a:schemeClr val="tx1">
                  <a:lumMod val="75000"/>
                  <a:lumOff val="25000"/>
                </a:schemeClr>
              </a:gs>
              <a:gs pos="71000">
                <a:schemeClr val="bg2">
                  <a:lumMod val="50000"/>
                </a:schemeClr>
              </a:gs>
              <a:gs pos="96000">
                <a:schemeClr val="bg2"/>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_task_dashpourd(2).xlsx]Pivot Tables!PivotTable17</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3000">
                          <a:schemeClr val="bg2">
                            <a:lumMod val="10000"/>
                          </a:schemeClr>
                        </a:gs>
                        <a:gs pos="36000">
                          <a:schemeClr val="tx1">
                            <a:lumMod val="75000"/>
                            <a:lumOff val="25000"/>
                          </a:schemeClr>
                        </a:gs>
                        <a:gs pos="71000">
                          <a:schemeClr val="bg2">
                            <a:lumMod val="50000"/>
                          </a:schemeClr>
                        </a:gs>
                        <a:gs pos="96000">
                          <a:schemeClr val="bg2"/>
                        </a:gs>
                      </a:gsLst>
                      <a:lin ang="5400000" scaled="1"/>
                    </a:gradFill>
                  </a:ln>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3000">
                          <a:schemeClr val="bg2">
                            <a:lumMod val="10000"/>
                          </a:schemeClr>
                        </a:gs>
                        <a:gs pos="36000">
                          <a:schemeClr val="tx1">
                            <a:lumMod val="75000"/>
                            <a:lumOff val="25000"/>
                          </a:schemeClr>
                        </a:gs>
                        <a:gs pos="71000">
                          <a:schemeClr val="bg2">
                            <a:lumMod val="50000"/>
                          </a:schemeClr>
                        </a:gs>
                        <a:gs pos="96000">
                          <a:schemeClr val="bg2"/>
                        </a:gs>
                      </a:gsLst>
                      <a:lin ang="5400000" scaled="1"/>
                    </a:gradFill>
                  </a:ln>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5">
                <a:lumMod val="20000"/>
                <a:lumOff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accent5">
                      <a:lumMod val="20000"/>
                      <a:lumOff val="8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Tables'!$DG$18:$DG$19</c:f>
              <c:strCache>
                <c:ptCount val="1"/>
                <c:pt idx="0">
                  <c:v>Spicy Special Slims</c:v>
                </c:pt>
              </c:strCache>
            </c:strRef>
          </c:tx>
          <c:spPr>
            <a:ln w="34925" cap="rnd">
              <a:solidFill>
                <a:schemeClr val="accent5">
                  <a:lumMod val="20000"/>
                  <a:lumOff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accent5">
                        <a:lumMod val="20000"/>
                        <a:lumOff val="8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Tables'!$DF$20:$DF$31</c:f>
              <c:strCache>
                <c:ptCount val="11"/>
                <c:pt idx="0">
                  <c:v>Oct</c:v>
                </c:pt>
                <c:pt idx="1">
                  <c:v>Nov</c:v>
                </c:pt>
                <c:pt idx="2">
                  <c:v>Jul</c:v>
                </c:pt>
                <c:pt idx="3">
                  <c:v>Jan</c:v>
                </c:pt>
                <c:pt idx="4">
                  <c:v>Apr</c:v>
                </c:pt>
                <c:pt idx="5">
                  <c:v>Feb</c:v>
                </c:pt>
                <c:pt idx="6">
                  <c:v>Mar</c:v>
                </c:pt>
                <c:pt idx="7">
                  <c:v>May</c:v>
                </c:pt>
                <c:pt idx="8">
                  <c:v>Sep</c:v>
                </c:pt>
                <c:pt idx="9">
                  <c:v>Aug</c:v>
                </c:pt>
                <c:pt idx="10">
                  <c:v>Jun</c:v>
                </c:pt>
              </c:strCache>
            </c:strRef>
          </c:cat>
          <c:val>
            <c:numRef>
              <c:f>'Pivot Tables'!$DG$20:$DG$31</c:f>
              <c:numCache>
                <c:formatCode>#,##0</c:formatCode>
                <c:ptCount val="11"/>
                <c:pt idx="4">
                  <c:v>26397</c:v>
                </c:pt>
                <c:pt idx="5">
                  <c:v>31311</c:v>
                </c:pt>
                <c:pt idx="6">
                  <c:v>129276</c:v>
                </c:pt>
                <c:pt idx="7">
                  <c:v>448056</c:v>
                </c:pt>
                <c:pt idx="8">
                  <c:v>610092</c:v>
                </c:pt>
                <c:pt idx="9">
                  <c:v>1355382</c:v>
                </c:pt>
                <c:pt idx="10">
                  <c:v>1629663</c:v>
                </c:pt>
              </c:numCache>
            </c:numRef>
          </c:val>
          <c:smooth val="0"/>
          <c:extLst>
            <c:ext xmlns:c16="http://schemas.microsoft.com/office/drawing/2014/chart" uri="{C3380CC4-5D6E-409C-BE32-E72D297353CC}">
              <c16:uniqueId val="{00000000-371F-4463-A861-9E416A30F6C4}"/>
            </c:ext>
          </c:extLst>
        </c:ser>
        <c:dLbls>
          <c:dLblPos val="t"/>
          <c:showLegendKey val="0"/>
          <c:showVal val="1"/>
          <c:showCatName val="0"/>
          <c:showSerName val="0"/>
          <c:showPercent val="0"/>
          <c:showBubbleSize val="0"/>
        </c:dLbls>
        <c:marker val="1"/>
        <c:smooth val="0"/>
        <c:axId val="198717888"/>
        <c:axId val="198711168"/>
      </c:lineChart>
      <c:catAx>
        <c:axId val="198717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accent5">
                    <a:lumMod val="20000"/>
                    <a:lumOff val="80000"/>
                  </a:schemeClr>
                </a:solidFill>
                <a:latin typeface="+mn-lt"/>
                <a:ea typeface="+mn-ea"/>
                <a:cs typeface="+mn-cs"/>
              </a:defRPr>
            </a:pPr>
            <a:endParaRPr lang="en-US"/>
          </a:p>
        </c:txPr>
        <c:crossAx val="198711168"/>
        <c:crosses val="autoZero"/>
        <c:auto val="1"/>
        <c:lblAlgn val="ctr"/>
        <c:lblOffset val="100"/>
        <c:noMultiLvlLbl val="0"/>
      </c:catAx>
      <c:valAx>
        <c:axId val="1987111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accent5">
                    <a:lumMod val="20000"/>
                    <a:lumOff val="80000"/>
                  </a:schemeClr>
                </a:solidFill>
                <a:latin typeface="+mn-lt"/>
                <a:ea typeface="+mn-ea"/>
                <a:cs typeface="+mn-cs"/>
              </a:defRPr>
            </a:pPr>
            <a:endParaRPr lang="en-US"/>
          </a:p>
        </c:txPr>
        <c:crossAx val="19871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gradFill>
              <a:gsLst>
                <a:gs pos="3000">
                  <a:schemeClr val="bg2">
                    <a:lumMod val="10000"/>
                  </a:schemeClr>
                </a:gs>
                <a:gs pos="36000">
                  <a:schemeClr val="tx1">
                    <a:lumMod val="75000"/>
                    <a:lumOff val="25000"/>
                  </a:schemeClr>
                </a:gs>
                <a:gs pos="71000">
                  <a:schemeClr val="bg2">
                    <a:lumMod val="50000"/>
                  </a:schemeClr>
                </a:gs>
                <a:gs pos="96000">
                  <a:schemeClr val="bg2"/>
                </a:gs>
              </a:gsLst>
              <a:lin ang="5400000" scaled="1"/>
            </a:gradFill>
          </a:ln>
          <a:solidFill>
            <a:schemeClr val="tx1">
              <a:lumMod val="95000"/>
              <a:lumOff val="5000"/>
            </a:schemeClr>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_task_dashpourd(2).xlsx]Pivot Tables!PivotTable14</c:name>
    <c:fmtId val="19"/>
  </c:pivotSource>
  <c:chart>
    <c:title>
      <c:tx>
        <c:rich>
          <a:bodyPr rot="0" spcFirstLastPara="1" vertOverflow="ellipsis" vert="horz" wrap="square" anchor="ctr" anchorCtr="1"/>
          <a:lstStyle/>
          <a:p>
            <a:pPr>
              <a:defRPr lang="en-US" sz="2400" b="1" i="0" u="none" strike="noStrike" kern="1200" cap="all" spc="100" baseline="0">
                <a:gradFill>
                  <a:gsLst>
                    <a:gs pos="3000">
                      <a:srgbClr val="E7E6E6">
                        <a:lumMod val="10000"/>
                      </a:srgbClr>
                    </a:gs>
                    <a:gs pos="36000">
                      <a:sysClr val="windowText" lastClr="000000">
                        <a:lumMod val="75000"/>
                        <a:lumOff val="25000"/>
                      </a:sysClr>
                    </a:gs>
                    <a:gs pos="71000">
                      <a:srgbClr val="E7E6E6">
                        <a:lumMod val="50000"/>
                      </a:srgbClr>
                    </a:gs>
                    <a:gs pos="96000">
                      <a:srgbClr val="E7E6E6"/>
                    </a:gs>
                  </a:gsLst>
                  <a:lin ang="5400000" scaled="1"/>
                </a:gradFill>
                <a:effectLst>
                  <a:outerShdw blurRad="50800" dist="38100" dir="5400000" algn="t" rotWithShape="0">
                    <a:prstClr val="black">
                      <a:alpha val="40000"/>
                    </a:prstClr>
                  </a:outerShdw>
                </a:effectLst>
                <a:latin typeface="+mn-lt"/>
                <a:ea typeface="+mn-ea"/>
                <a:cs typeface="+mn-cs"/>
              </a:defRPr>
            </a:pPr>
            <a:r>
              <a:rPr lang="en-US" sz="2400" b="1" i="0" u="none" strike="noStrike" kern="1200" cap="all" spc="100" baseline="0">
                <a:solidFill>
                  <a:schemeClr val="accent5">
                    <a:lumMod val="20000"/>
                    <a:lumOff val="80000"/>
                  </a:schemeClr>
                </a:solidFill>
                <a:effectLst>
                  <a:outerShdw blurRad="50800" dist="38100" dir="5400000" algn="t" rotWithShape="0">
                    <a:prstClr val="black">
                      <a:alpha val="40000"/>
                    </a:prstClr>
                  </a:outerShdw>
                </a:effectLst>
                <a:latin typeface="+mn-lt"/>
                <a:ea typeface="+mn-ea"/>
                <a:cs typeface="+mn-cs"/>
              </a:rPr>
              <a:t>Total Sales per each product per month</a:t>
            </a:r>
          </a:p>
        </c:rich>
      </c:tx>
      <c:overlay val="0"/>
      <c:spPr>
        <a:noFill/>
        <a:ln>
          <a:noFill/>
        </a:ln>
        <a:effectLst/>
      </c:spPr>
      <c:txPr>
        <a:bodyPr rot="0" spcFirstLastPara="1" vertOverflow="ellipsis" vert="horz" wrap="square" anchor="ctr" anchorCtr="1"/>
        <a:lstStyle/>
        <a:p>
          <a:pPr>
            <a:defRPr lang="en-US" sz="2400" b="1" i="0" u="none" strike="noStrike" kern="1200" cap="all" spc="100" baseline="0">
              <a:gradFill>
                <a:gsLst>
                  <a:gs pos="3000">
                    <a:srgbClr val="E7E6E6">
                      <a:lumMod val="10000"/>
                    </a:srgbClr>
                  </a:gs>
                  <a:gs pos="36000">
                    <a:sysClr val="windowText" lastClr="000000">
                      <a:lumMod val="75000"/>
                      <a:lumOff val="25000"/>
                    </a:sysClr>
                  </a:gs>
                  <a:gs pos="71000">
                    <a:srgbClr val="E7E6E6">
                      <a:lumMod val="50000"/>
                    </a:srgbClr>
                  </a:gs>
                  <a:gs pos="96000">
                    <a:srgbClr val="E7E6E6"/>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Tables'!$CP$6:$CP$7</c:f>
              <c:strCache>
                <c:ptCount val="1"/>
                <c:pt idx="0">
                  <c:v>Jan</c:v>
                </c:pt>
              </c:strCache>
            </c:strRef>
          </c:tx>
          <c:spPr>
            <a:gradFill rotWithShape="1">
              <a:gsLst>
                <a:gs pos="0">
                  <a:schemeClr val="accent5">
                    <a:shade val="41000"/>
                    <a:satMod val="103000"/>
                    <a:lumMod val="102000"/>
                    <a:tint val="94000"/>
                  </a:schemeClr>
                </a:gs>
                <a:gs pos="50000">
                  <a:schemeClr val="accent5">
                    <a:shade val="41000"/>
                    <a:satMod val="110000"/>
                    <a:lumMod val="100000"/>
                    <a:shade val="100000"/>
                  </a:schemeClr>
                </a:gs>
                <a:gs pos="100000">
                  <a:schemeClr val="accent5">
                    <a:shade val="4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Tables'!$CP$8:$CP$18</c:f>
              <c:numCache>
                <c:formatCode>General</c:formatCode>
                <c:ptCount val="10"/>
                <c:pt idx="0">
                  <c:v>1</c:v>
                </c:pt>
                <c:pt idx="1">
                  <c:v>2</c:v>
                </c:pt>
                <c:pt idx="2">
                  <c:v>2</c:v>
                </c:pt>
                <c:pt idx="3">
                  <c:v>1</c:v>
                </c:pt>
                <c:pt idx="4">
                  <c:v>2</c:v>
                </c:pt>
                <c:pt idx="6">
                  <c:v>3</c:v>
                </c:pt>
                <c:pt idx="7">
                  <c:v>1</c:v>
                </c:pt>
                <c:pt idx="8">
                  <c:v>1</c:v>
                </c:pt>
                <c:pt idx="9">
                  <c:v>1</c:v>
                </c:pt>
              </c:numCache>
            </c:numRef>
          </c:val>
          <c:extLst>
            <c:ext xmlns:c16="http://schemas.microsoft.com/office/drawing/2014/chart" uri="{C3380CC4-5D6E-409C-BE32-E72D297353CC}">
              <c16:uniqueId val="{00000000-CB6E-4E6F-9B63-88EA50EDDE8F}"/>
            </c:ext>
          </c:extLst>
        </c:ser>
        <c:ser>
          <c:idx val="1"/>
          <c:order val="1"/>
          <c:tx>
            <c:strRef>
              <c:f>'Pivot Tables'!$CQ$6:$CQ$7</c:f>
              <c:strCache>
                <c:ptCount val="1"/>
                <c:pt idx="0">
                  <c:v>Feb</c:v>
                </c:pt>
              </c:strCache>
            </c:strRef>
          </c:tx>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Tables'!$CQ$8:$CQ$18</c:f>
              <c:numCache>
                <c:formatCode>General</c:formatCode>
                <c:ptCount val="10"/>
                <c:pt idx="1">
                  <c:v>4</c:v>
                </c:pt>
                <c:pt idx="2">
                  <c:v>2</c:v>
                </c:pt>
                <c:pt idx="3">
                  <c:v>4</c:v>
                </c:pt>
                <c:pt idx="4">
                  <c:v>6</c:v>
                </c:pt>
                <c:pt idx="5">
                  <c:v>2</c:v>
                </c:pt>
                <c:pt idx="7">
                  <c:v>6</c:v>
                </c:pt>
              </c:numCache>
            </c:numRef>
          </c:val>
          <c:extLst>
            <c:ext xmlns:c16="http://schemas.microsoft.com/office/drawing/2014/chart" uri="{C3380CC4-5D6E-409C-BE32-E72D297353CC}">
              <c16:uniqueId val="{00000001-CB6E-4E6F-9B63-88EA50EDDE8F}"/>
            </c:ext>
          </c:extLst>
        </c:ser>
        <c:ser>
          <c:idx val="2"/>
          <c:order val="2"/>
          <c:tx>
            <c:strRef>
              <c:f>'Pivot Tables'!$CR$6:$CR$7</c:f>
              <c:strCache>
                <c:ptCount val="1"/>
                <c:pt idx="0">
                  <c:v>Mar</c:v>
                </c:pt>
              </c:strCache>
            </c:strRef>
          </c:tx>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Tables'!$CR$8:$CR$18</c:f>
              <c:numCache>
                <c:formatCode>General</c:formatCode>
                <c:ptCount val="10"/>
                <c:pt idx="0">
                  <c:v>3</c:v>
                </c:pt>
                <c:pt idx="1">
                  <c:v>3</c:v>
                </c:pt>
                <c:pt idx="2">
                  <c:v>6</c:v>
                </c:pt>
                <c:pt idx="3">
                  <c:v>9</c:v>
                </c:pt>
                <c:pt idx="4">
                  <c:v>3</c:v>
                </c:pt>
                <c:pt idx="5">
                  <c:v>3</c:v>
                </c:pt>
                <c:pt idx="6">
                  <c:v>6</c:v>
                </c:pt>
                <c:pt idx="7">
                  <c:v>3</c:v>
                </c:pt>
                <c:pt idx="9">
                  <c:v>6</c:v>
                </c:pt>
              </c:numCache>
            </c:numRef>
          </c:val>
          <c:extLst>
            <c:ext xmlns:c16="http://schemas.microsoft.com/office/drawing/2014/chart" uri="{C3380CC4-5D6E-409C-BE32-E72D297353CC}">
              <c16:uniqueId val="{00000002-CB6E-4E6F-9B63-88EA50EDDE8F}"/>
            </c:ext>
          </c:extLst>
        </c:ser>
        <c:ser>
          <c:idx val="3"/>
          <c:order val="3"/>
          <c:tx>
            <c:strRef>
              <c:f>'Pivot Tables'!$CS$6:$CS$7</c:f>
              <c:strCache>
                <c:ptCount val="1"/>
                <c:pt idx="0">
                  <c:v>Apr</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Tables'!$CS$8:$CS$18</c:f>
              <c:numCache>
                <c:formatCode>General</c:formatCode>
                <c:ptCount val="10"/>
                <c:pt idx="0">
                  <c:v>4</c:v>
                </c:pt>
                <c:pt idx="1">
                  <c:v>4</c:v>
                </c:pt>
                <c:pt idx="2">
                  <c:v>4</c:v>
                </c:pt>
                <c:pt idx="3">
                  <c:v>12</c:v>
                </c:pt>
                <c:pt idx="4">
                  <c:v>4</c:v>
                </c:pt>
                <c:pt idx="5">
                  <c:v>4</c:v>
                </c:pt>
                <c:pt idx="7">
                  <c:v>4</c:v>
                </c:pt>
                <c:pt idx="9">
                  <c:v>8</c:v>
                </c:pt>
              </c:numCache>
            </c:numRef>
          </c:val>
          <c:extLst>
            <c:ext xmlns:c16="http://schemas.microsoft.com/office/drawing/2014/chart" uri="{C3380CC4-5D6E-409C-BE32-E72D297353CC}">
              <c16:uniqueId val="{00000003-CB6E-4E6F-9B63-88EA50EDDE8F}"/>
            </c:ext>
          </c:extLst>
        </c:ser>
        <c:ser>
          <c:idx val="4"/>
          <c:order val="4"/>
          <c:tx>
            <c:strRef>
              <c:f>'Pivot Tables'!$CT$6:$CT$7</c:f>
              <c:strCache>
                <c:ptCount val="1"/>
                <c:pt idx="0">
                  <c:v>May</c:v>
                </c:pt>
              </c:strCache>
            </c:strRef>
          </c:tx>
          <c:spPr>
            <a:gradFill rotWithShape="1">
              <a:gsLst>
                <a:gs pos="0">
                  <a:schemeClr val="accent5">
                    <a:shade val="88000"/>
                    <a:satMod val="103000"/>
                    <a:lumMod val="102000"/>
                    <a:tint val="94000"/>
                  </a:schemeClr>
                </a:gs>
                <a:gs pos="50000">
                  <a:schemeClr val="accent5">
                    <a:shade val="88000"/>
                    <a:satMod val="110000"/>
                    <a:lumMod val="100000"/>
                    <a:shade val="100000"/>
                  </a:schemeClr>
                </a:gs>
                <a:gs pos="100000">
                  <a:schemeClr val="accent5">
                    <a:shade val="8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Tables'!$CT$8:$CT$18</c:f>
              <c:numCache>
                <c:formatCode>General</c:formatCode>
                <c:ptCount val="10"/>
                <c:pt idx="0">
                  <c:v>20</c:v>
                </c:pt>
                <c:pt idx="1">
                  <c:v>5</c:v>
                </c:pt>
                <c:pt idx="2">
                  <c:v>5</c:v>
                </c:pt>
                <c:pt idx="4">
                  <c:v>5</c:v>
                </c:pt>
                <c:pt idx="5">
                  <c:v>10</c:v>
                </c:pt>
                <c:pt idx="7">
                  <c:v>10</c:v>
                </c:pt>
                <c:pt idx="8">
                  <c:v>5</c:v>
                </c:pt>
              </c:numCache>
            </c:numRef>
          </c:val>
          <c:extLst>
            <c:ext xmlns:c16="http://schemas.microsoft.com/office/drawing/2014/chart" uri="{C3380CC4-5D6E-409C-BE32-E72D297353CC}">
              <c16:uniqueId val="{00000004-CB6E-4E6F-9B63-88EA50EDDE8F}"/>
            </c:ext>
          </c:extLst>
        </c:ser>
        <c:ser>
          <c:idx val="5"/>
          <c:order val="5"/>
          <c:tx>
            <c:strRef>
              <c:f>'Pivot Tables'!$CU$6:$CU$7</c:f>
              <c:strCache>
                <c:ptCount val="1"/>
                <c:pt idx="0">
                  <c:v>Jun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Tables'!$CU$8:$CU$18</c:f>
              <c:numCache>
                <c:formatCode>General</c:formatCode>
                <c:ptCount val="10"/>
                <c:pt idx="0">
                  <c:v>24</c:v>
                </c:pt>
                <c:pt idx="2">
                  <c:v>12</c:v>
                </c:pt>
                <c:pt idx="3">
                  <c:v>6</c:v>
                </c:pt>
                <c:pt idx="4">
                  <c:v>12</c:v>
                </c:pt>
                <c:pt idx="5">
                  <c:v>6</c:v>
                </c:pt>
                <c:pt idx="6">
                  <c:v>12</c:v>
                </c:pt>
                <c:pt idx="8">
                  <c:v>12</c:v>
                </c:pt>
                <c:pt idx="9">
                  <c:v>6</c:v>
                </c:pt>
              </c:numCache>
            </c:numRef>
          </c:val>
          <c:extLst>
            <c:ext xmlns:c16="http://schemas.microsoft.com/office/drawing/2014/chart" uri="{C3380CC4-5D6E-409C-BE32-E72D297353CC}">
              <c16:uniqueId val="{00000005-CB6E-4E6F-9B63-88EA50EDDE8F}"/>
            </c:ext>
          </c:extLst>
        </c:ser>
        <c:ser>
          <c:idx val="6"/>
          <c:order val="6"/>
          <c:tx>
            <c:strRef>
              <c:f>'Pivot Tables'!$CV$6:$CV$7</c:f>
              <c:strCache>
                <c:ptCount val="1"/>
                <c:pt idx="0">
                  <c:v>Jul</c:v>
                </c:pt>
              </c:strCache>
            </c:strRef>
          </c:tx>
          <c:spPr>
            <a:gradFill rotWithShape="1">
              <a:gsLst>
                <a:gs pos="0">
                  <a:schemeClr val="accent5">
                    <a:tint val="89000"/>
                    <a:satMod val="103000"/>
                    <a:lumMod val="102000"/>
                    <a:tint val="94000"/>
                  </a:schemeClr>
                </a:gs>
                <a:gs pos="50000">
                  <a:schemeClr val="accent5">
                    <a:tint val="89000"/>
                    <a:satMod val="110000"/>
                    <a:lumMod val="100000"/>
                    <a:shade val="100000"/>
                  </a:schemeClr>
                </a:gs>
                <a:gs pos="100000">
                  <a:schemeClr val="accent5">
                    <a:tint val="8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Tables'!$CV$8:$CV$18</c:f>
              <c:numCache>
                <c:formatCode>General</c:formatCode>
                <c:ptCount val="10"/>
                <c:pt idx="1">
                  <c:v>21</c:v>
                </c:pt>
                <c:pt idx="2">
                  <c:v>7</c:v>
                </c:pt>
                <c:pt idx="3">
                  <c:v>7</c:v>
                </c:pt>
                <c:pt idx="4">
                  <c:v>21</c:v>
                </c:pt>
                <c:pt idx="7">
                  <c:v>7</c:v>
                </c:pt>
                <c:pt idx="8">
                  <c:v>7</c:v>
                </c:pt>
                <c:pt idx="9">
                  <c:v>14</c:v>
                </c:pt>
              </c:numCache>
            </c:numRef>
          </c:val>
          <c:extLst>
            <c:ext xmlns:c16="http://schemas.microsoft.com/office/drawing/2014/chart" uri="{C3380CC4-5D6E-409C-BE32-E72D297353CC}">
              <c16:uniqueId val="{00000006-CB6E-4E6F-9B63-88EA50EDDE8F}"/>
            </c:ext>
          </c:extLst>
        </c:ser>
        <c:ser>
          <c:idx val="7"/>
          <c:order val="7"/>
          <c:tx>
            <c:strRef>
              <c:f>'Pivot Tables'!$CW$6:$CW$7</c:f>
              <c:strCache>
                <c:ptCount val="1"/>
                <c:pt idx="0">
                  <c:v>Aug</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Tables'!$CW$8:$CW$18</c:f>
              <c:numCache>
                <c:formatCode>General</c:formatCode>
                <c:ptCount val="10"/>
                <c:pt idx="1">
                  <c:v>8</c:v>
                </c:pt>
                <c:pt idx="2">
                  <c:v>8</c:v>
                </c:pt>
                <c:pt idx="3">
                  <c:v>8</c:v>
                </c:pt>
                <c:pt idx="4">
                  <c:v>8</c:v>
                </c:pt>
                <c:pt idx="5">
                  <c:v>8</c:v>
                </c:pt>
                <c:pt idx="6">
                  <c:v>8</c:v>
                </c:pt>
                <c:pt idx="7">
                  <c:v>16</c:v>
                </c:pt>
                <c:pt idx="8">
                  <c:v>16</c:v>
                </c:pt>
                <c:pt idx="9">
                  <c:v>24</c:v>
                </c:pt>
              </c:numCache>
            </c:numRef>
          </c:val>
          <c:extLst>
            <c:ext xmlns:c16="http://schemas.microsoft.com/office/drawing/2014/chart" uri="{C3380CC4-5D6E-409C-BE32-E72D297353CC}">
              <c16:uniqueId val="{00000007-CB6E-4E6F-9B63-88EA50EDDE8F}"/>
            </c:ext>
          </c:extLst>
        </c:ser>
        <c:ser>
          <c:idx val="8"/>
          <c:order val="8"/>
          <c:tx>
            <c:strRef>
              <c:f>'Pivot Tables'!$CX$6:$CX$7</c:f>
              <c:strCache>
                <c:ptCount val="1"/>
                <c:pt idx="0">
                  <c:v>Sep</c:v>
                </c:pt>
              </c:strCache>
            </c:strRef>
          </c:tx>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Tables'!$CX$8:$CX$18</c:f>
              <c:numCache>
                <c:formatCode>General</c:formatCode>
                <c:ptCount val="10"/>
                <c:pt idx="0">
                  <c:v>9</c:v>
                </c:pt>
                <c:pt idx="2">
                  <c:v>18</c:v>
                </c:pt>
                <c:pt idx="3">
                  <c:v>9</c:v>
                </c:pt>
                <c:pt idx="5">
                  <c:v>27</c:v>
                </c:pt>
                <c:pt idx="6">
                  <c:v>18</c:v>
                </c:pt>
                <c:pt idx="7">
                  <c:v>9</c:v>
                </c:pt>
                <c:pt idx="8">
                  <c:v>9</c:v>
                </c:pt>
              </c:numCache>
            </c:numRef>
          </c:val>
          <c:extLst>
            <c:ext xmlns:c16="http://schemas.microsoft.com/office/drawing/2014/chart" uri="{C3380CC4-5D6E-409C-BE32-E72D297353CC}">
              <c16:uniqueId val="{00000008-CB6E-4E6F-9B63-88EA50EDDE8F}"/>
            </c:ext>
          </c:extLst>
        </c:ser>
        <c:ser>
          <c:idx val="9"/>
          <c:order val="9"/>
          <c:tx>
            <c:strRef>
              <c:f>'Pivot Tables'!$CY$6:$CY$7</c:f>
              <c:strCache>
                <c:ptCount val="1"/>
                <c:pt idx="0">
                  <c:v>Oct</c:v>
                </c:pt>
              </c:strCache>
            </c:strRef>
          </c:tx>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Tables'!$CY$8:$CY$18</c:f>
              <c:numCache>
                <c:formatCode>General</c:formatCode>
                <c:ptCount val="10"/>
                <c:pt idx="0">
                  <c:v>10</c:v>
                </c:pt>
                <c:pt idx="3">
                  <c:v>10</c:v>
                </c:pt>
                <c:pt idx="4">
                  <c:v>10</c:v>
                </c:pt>
                <c:pt idx="8">
                  <c:v>10</c:v>
                </c:pt>
              </c:numCache>
            </c:numRef>
          </c:val>
          <c:extLst>
            <c:ext xmlns:c16="http://schemas.microsoft.com/office/drawing/2014/chart" uri="{C3380CC4-5D6E-409C-BE32-E72D297353CC}">
              <c16:uniqueId val="{00000009-CB6E-4E6F-9B63-88EA50EDDE8F}"/>
            </c:ext>
          </c:extLst>
        </c:ser>
        <c:ser>
          <c:idx val="10"/>
          <c:order val="10"/>
          <c:tx>
            <c:strRef>
              <c:f>'Pivot Tables'!$CZ$6:$CZ$7</c:f>
              <c:strCache>
                <c:ptCount val="1"/>
                <c:pt idx="0">
                  <c:v>Nov</c:v>
                </c:pt>
              </c:strCache>
            </c:strRef>
          </c:tx>
          <c:spPr>
            <a:gradFill rotWithShape="1">
              <a:gsLst>
                <a:gs pos="0">
                  <a:schemeClr val="accent5">
                    <a:tint val="42000"/>
                    <a:satMod val="103000"/>
                    <a:lumMod val="102000"/>
                    <a:tint val="94000"/>
                  </a:schemeClr>
                </a:gs>
                <a:gs pos="50000">
                  <a:schemeClr val="accent5">
                    <a:tint val="42000"/>
                    <a:satMod val="110000"/>
                    <a:lumMod val="100000"/>
                    <a:shade val="100000"/>
                  </a:schemeClr>
                </a:gs>
                <a:gs pos="100000">
                  <a:schemeClr val="accent5">
                    <a:tint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Tables'!$CO$8:$CO$18</c:f>
              <c:strCache>
                <c:ptCount val="10"/>
                <c:pt idx="0">
                  <c:v>Peanut Butter Cubes</c:v>
                </c:pt>
                <c:pt idx="1">
                  <c:v>50% Dark Bites</c:v>
                </c:pt>
                <c:pt idx="2">
                  <c:v>Milk Bars</c:v>
                </c:pt>
                <c:pt idx="3">
                  <c:v>99% Dark &amp; Pure</c:v>
                </c:pt>
                <c:pt idx="4">
                  <c:v>Mint Chip Choco</c:v>
                </c:pt>
                <c:pt idx="5">
                  <c:v>Spicy Special Slims</c:v>
                </c:pt>
                <c:pt idx="6">
                  <c:v>Orange Choco</c:v>
                </c:pt>
                <c:pt idx="7">
                  <c:v>Choco Coated Almonds</c:v>
                </c:pt>
                <c:pt idx="8">
                  <c:v>85% Dark Bars</c:v>
                </c:pt>
                <c:pt idx="9">
                  <c:v>Drinking Coco</c:v>
                </c:pt>
              </c:strCache>
            </c:strRef>
          </c:cat>
          <c:val>
            <c:numRef>
              <c:f>'Pivot Tables'!$CZ$8:$CZ$18</c:f>
              <c:numCache>
                <c:formatCode>General</c:formatCode>
                <c:ptCount val="10"/>
              </c:numCache>
            </c:numRef>
          </c:val>
          <c:extLst>
            <c:ext xmlns:c16="http://schemas.microsoft.com/office/drawing/2014/chart" uri="{C3380CC4-5D6E-409C-BE32-E72D297353CC}">
              <c16:uniqueId val="{0000000A-CB6E-4E6F-9B63-88EA50EDDE8F}"/>
            </c:ext>
          </c:extLst>
        </c:ser>
        <c:dLbls>
          <c:showLegendKey val="0"/>
          <c:showVal val="0"/>
          <c:showCatName val="0"/>
          <c:showSerName val="0"/>
          <c:showPercent val="0"/>
          <c:showBubbleSize val="0"/>
        </c:dLbls>
        <c:gapWidth val="100"/>
        <c:overlap val="-24"/>
        <c:axId val="777058416"/>
        <c:axId val="777059376"/>
      </c:barChart>
      <c:catAx>
        <c:axId val="777058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777059376"/>
        <c:crosses val="autoZero"/>
        <c:auto val="1"/>
        <c:lblAlgn val="ctr"/>
        <c:lblOffset val="100"/>
        <c:noMultiLvlLbl val="0"/>
      </c:catAx>
      <c:valAx>
        <c:axId val="777059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77705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_task_dashpourd(2).xlsx]Pivot Tables!PivotTable13</c:name>
    <c:fmtId val="14"/>
  </c:pivotSource>
  <c:chart>
    <c:title>
      <c:tx>
        <c:rich>
          <a:bodyPr rot="0" spcFirstLastPara="1" vertOverflow="ellipsis" vert="horz" wrap="square" anchor="ctr" anchorCtr="1"/>
          <a:lstStyle/>
          <a:p>
            <a:pPr algn="ctr" rtl="0">
              <a:defRPr lang="en-US" sz="2400" b="1" i="0" u="none" strike="noStrike" kern="1200" cap="all" baseline="0">
                <a:gradFill>
                  <a:gsLst>
                    <a:gs pos="3000">
                      <a:srgbClr val="E7E6E6">
                        <a:lumMod val="10000"/>
                      </a:srgbClr>
                    </a:gs>
                    <a:gs pos="36000">
                      <a:sysClr val="windowText" lastClr="000000">
                        <a:lumMod val="75000"/>
                        <a:lumOff val="25000"/>
                      </a:sysClr>
                    </a:gs>
                    <a:gs pos="71000">
                      <a:srgbClr val="E7E6E6">
                        <a:lumMod val="50000"/>
                      </a:srgbClr>
                    </a:gs>
                    <a:gs pos="96000">
                      <a:srgbClr val="E7E6E6"/>
                    </a:gs>
                  </a:gsLst>
                  <a:lin ang="5400000"/>
                </a:gradFill>
                <a:latin typeface="+mn-lt"/>
                <a:ea typeface="+mn-ea"/>
                <a:cs typeface="+mn-cs"/>
              </a:defRPr>
            </a:pPr>
            <a:r>
              <a:rPr lang="en-US" sz="2400" b="1" i="0" u="none" strike="noStrike" kern="1200" baseline="0">
                <a:solidFill>
                  <a:schemeClr val="accent5">
                    <a:lumMod val="20000"/>
                    <a:lumOff val="80000"/>
                  </a:schemeClr>
                </a:solidFill>
                <a:latin typeface="+mn-lt"/>
                <a:ea typeface="+mn-ea"/>
                <a:cs typeface="+mn-cs"/>
              </a:rPr>
              <a:t>Total sales per each salerman</a:t>
            </a:r>
          </a:p>
        </c:rich>
      </c:tx>
      <c:overlay val="0"/>
      <c:spPr>
        <a:noFill/>
        <a:ln>
          <a:noFill/>
        </a:ln>
        <a:effectLst/>
      </c:spPr>
      <c:txPr>
        <a:bodyPr rot="0" spcFirstLastPara="1" vertOverflow="ellipsis" vert="horz" wrap="square" anchor="ctr" anchorCtr="1"/>
        <a:lstStyle/>
        <a:p>
          <a:pPr algn="ctr" rtl="0">
            <a:defRPr lang="en-US" sz="2400" b="1" i="0" u="none" strike="noStrike" kern="1200" cap="all" baseline="0">
              <a:gradFill>
                <a:gsLst>
                  <a:gs pos="3000">
                    <a:srgbClr val="E7E6E6">
                      <a:lumMod val="10000"/>
                    </a:srgbClr>
                  </a:gs>
                  <a:gs pos="36000">
                    <a:sysClr val="windowText" lastClr="000000">
                      <a:lumMod val="75000"/>
                      <a:lumOff val="25000"/>
                    </a:sysClr>
                  </a:gs>
                  <a:gs pos="71000">
                    <a:srgbClr val="E7E6E6">
                      <a:lumMod val="50000"/>
                    </a:srgbClr>
                  </a:gs>
                  <a:gs pos="96000">
                    <a:srgbClr val="E7E6E6"/>
                  </a:gs>
                </a:gsLst>
                <a:lin ang="5400000"/>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ymbol val="none"/>
        </c:marker>
        <c:dLbl>
          <c:idx val="0"/>
          <c:spPr>
            <a:solidFill>
              <a:schemeClr val="accent5">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Tables'!$CA$15:$CA$16</c:f>
              <c:strCache>
                <c:ptCount val="1"/>
                <c:pt idx="0">
                  <c:v>50% Dark Bites</c:v>
                </c:pt>
              </c:strCache>
            </c:strRef>
          </c:tx>
          <c:spPr>
            <a:solidFill>
              <a:schemeClr val="accent5">
                <a:shade val="42000"/>
                <a:alpha val="88000"/>
              </a:schemeClr>
            </a:solidFill>
            <a:ln>
              <a:solidFill>
                <a:schemeClr val="accent5">
                  <a:shade val="42000"/>
                  <a:lumMod val="50000"/>
                </a:schemeClr>
              </a:solidFill>
            </a:ln>
            <a:effectLst/>
            <a:scene3d>
              <a:camera prst="orthographicFront"/>
              <a:lightRig rig="threePt" dir="t"/>
            </a:scene3d>
            <a:sp3d prstMaterial="flat">
              <a:contourClr>
                <a:schemeClr val="accent5">
                  <a:shade val="42000"/>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Tables'!$CA$17:$CA$27</c:f>
              <c:numCache>
                <c:formatCode>#,##0</c:formatCode>
                <c:ptCount val="10"/>
                <c:pt idx="1">
                  <c:v>59892</c:v>
                </c:pt>
                <c:pt idx="2">
                  <c:v>2619309</c:v>
                </c:pt>
                <c:pt idx="4">
                  <c:v>57078</c:v>
                </c:pt>
                <c:pt idx="6">
                  <c:v>2585961</c:v>
                </c:pt>
                <c:pt idx="7">
                  <c:v>3265962</c:v>
                </c:pt>
                <c:pt idx="8">
                  <c:v>286272</c:v>
                </c:pt>
              </c:numCache>
            </c:numRef>
          </c:val>
          <c:extLst>
            <c:ext xmlns:c16="http://schemas.microsoft.com/office/drawing/2014/chart" uri="{C3380CC4-5D6E-409C-BE32-E72D297353CC}">
              <c16:uniqueId val="{00000000-B5D1-400E-A6FC-21A73F5F6A2A}"/>
            </c:ext>
          </c:extLst>
        </c:ser>
        <c:ser>
          <c:idx val="1"/>
          <c:order val="1"/>
          <c:tx>
            <c:strRef>
              <c:f>'Pivot Tables'!$CB$15:$CB$16</c:f>
              <c:strCache>
                <c:ptCount val="1"/>
                <c:pt idx="0">
                  <c:v>85% Dark Bars</c:v>
                </c:pt>
              </c:strCache>
            </c:strRef>
          </c:tx>
          <c:spPr>
            <a:solidFill>
              <a:schemeClr val="accent5">
                <a:shade val="55000"/>
                <a:alpha val="88000"/>
              </a:schemeClr>
            </a:solidFill>
            <a:ln>
              <a:solidFill>
                <a:schemeClr val="accent5">
                  <a:shade val="55000"/>
                  <a:lumMod val="50000"/>
                </a:schemeClr>
              </a:solidFill>
            </a:ln>
            <a:effectLst/>
            <a:scene3d>
              <a:camera prst="orthographicFront"/>
              <a:lightRig rig="threePt" dir="t"/>
            </a:scene3d>
            <a:sp3d prstMaterial="flat">
              <a:contourClr>
                <a:schemeClr val="accent5">
                  <a:shade val="55000"/>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Tables'!$CB$17:$CB$27</c:f>
              <c:numCache>
                <c:formatCode>#,##0</c:formatCode>
                <c:ptCount val="10"/>
                <c:pt idx="0">
                  <c:v>1447740</c:v>
                </c:pt>
                <c:pt idx="1">
                  <c:v>687078</c:v>
                </c:pt>
                <c:pt idx="3">
                  <c:v>8967</c:v>
                </c:pt>
                <c:pt idx="5">
                  <c:v>110397</c:v>
                </c:pt>
                <c:pt idx="6">
                  <c:v>1993320</c:v>
                </c:pt>
                <c:pt idx="8">
                  <c:v>652596</c:v>
                </c:pt>
              </c:numCache>
            </c:numRef>
          </c:val>
          <c:extLst>
            <c:ext xmlns:c16="http://schemas.microsoft.com/office/drawing/2014/chart" uri="{C3380CC4-5D6E-409C-BE32-E72D297353CC}">
              <c16:uniqueId val="{00000001-B5D1-400E-A6FC-21A73F5F6A2A}"/>
            </c:ext>
          </c:extLst>
        </c:ser>
        <c:ser>
          <c:idx val="2"/>
          <c:order val="2"/>
          <c:tx>
            <c:strRef>
              <c:f>'Pivot Tables'!$CC$15:$CC$16</c:f>
              <c:strCache>
                <c:ptCount val="1"/>
                <c:pt idx="0">
                  <c:v>99% Dark &amp; Pure</c:v>
                </c:pt>
              </c:strCache>
            </c:strRef>
          </c:tx>
          <c:spPr>
            <a:solidFill>
              <a:schemeClr val="accent5">
                <a:shade val="68000"/>
                <a:alpha val="88000"/>
              </a:schemeClr>
            </a:solidFill>
            <a:ln>
              <a:solidFill>
                <a:schemeClr val="accent5">
                  <a:shade val="68000"/>
                  <a:lumMod val="50000"/>
                </a:schemeClr>
              </a:solidFill>
            </a:ln>
            <a:effectLst/>
            <a:scene3d>
              <a:camera prst="orthographicFront"/>
              <a:lightRig rig="threePt" dir="t"/>
            </a:scene3d>
            <a:sp3d prstMaterial="flat">
              <a:contourClr>
                <a:schemeClr val="accent5">
                  <a:shade val="68000"/>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Tables'!$CC$17:$CC$27</c:f>
              <c:numCache>
                <c:formatCode>#,##0</c:formatCode>
                <c:ptCount val="10"/>
                <c:pt idx="1">
                  <c:v>1087527</c:v>
                </c:pt>
                <c:pt idx="2">
                  <c:v>23058</c:v>
                </c:pt>
                <c:pt idx="4">
                  <c:v>913899</c:v>
                </c:pt>
                <c:pt idx="5">
                  <c:v>812469</c:v>
                </c:pt>
                <c:pt idx="6">
                  <c:v>1961400</c:v>
                </c:pt>
                <c:pt idx="7">
                  <c:v>1092420</c:v>
                </c:pt>
                <c:pt idx="8">
                  <c:v>429891</c:v>
                </c:pt>
                <c:pt idx="9">
                  <c:v>361284</c:v>
                </c:pt>
              </c:numCache>
            </c:numRef>
          </c:val>
          <c:extLst>
            <c:ext xmlns:c16="http://schemas.microsoft.com/office/drawing/2014/chart" uri="{C3380CC4-5D6E-409C-BE32-E72D297353CC}">
              <c16:uniqueId val="{00000002-B5D1-400E-A6FC-21A73F5F6A2A}"/>
            </c:ext>
          </c:extLst>
        </c:ser>
        <c:ser>
          <c:idx val="3"/>
          <c:order val="3"/>
          <c:tx>
            <c:strRef>
              <c:f>'Pivot Tables'!$CD$15:$CD$16</c:f>
              <c:strCache>
                <c:ptCount val="1"/>
                <c:pt idx="0">
                  <c:v>Almond Choco</c:v>
                </c:pt>
              </c:strCache>
            </c:strRef>
          </c:tx>
          <c:spPr>
            <a:solidFill>
              <a:schemeClr val="accent5">
                <a:shade val="80000"/>
                <a:alpha val="88000"/>
              </a:schemeClr>
            </a:solidFill>
            <a:ln>
              <a:solidFill>
                <a:schemeClr val="accent5">
                  <a:shade val="80000"/>
                  <a:lumMod val="50000"/>
                </a:schemeClr>
              </a:solidFill>
            </a:ln>
            <a:effectLst/>
            <a:scene3d>
              <a:camera prst="orthographicFront"/>
              <a:lightRig rig="threePt" dir="t"/>
            </a:scene3d>
            <a:sp3d prstMaterial="flat">
              <a:contourClr>
                <a:schemeClr val="accent5">
                  <a:shade val="80000"/>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Tables'!$CD$17:$CD$27</c:f>
              <c:numCache>
                <c:formatCode>#,##0</c:formatCode>
                <c:ptCount val="10"/>
                <c:pt idx="0">
                  <c:v>194586</c:v>
                </c:pt>
                <c:pt idx="1">
                  <c:v>24696</c:v>
                </c:pt>
                <c:pt idx="2">
                  <c:v>343308</c:v>
                </c:pt>
                <c:pt idx="3">
                  <c:v>1757364</c:v>
                </c:pt>
                <c:pt idx="4">
                  <c:v>10647</c:v>
                </c:pt>
                <c:pt idx="5">
                  <c:v>632562</c:v>
                </c:pt>
                <c:pt idx="7">
                  <c:v>3457440</c:v>
                </c:pt>
              </c:numCache>
            </c:numRef>
          </c:val>
          <c:extLst>
            <c:ext xmlns:c16="http://schemas.microsoft.com/office/drawing/2014/chart" uri="{C3380CC4-5D6E-409C-BE32-E72D297353CC}">
              <c16:uniqueId val="{00000003-B5D1-400E-A6FC-21A73F5F6A2A}"/>
            </c:ext>
          </c:extLst>
        </c:ser>
        <c:ser>
          <c:idx val="4"/>
          <c:order val="4"/>
          <c:tx>
            <c:strRef>
              <c:f>'Pivot Tables'!$CE$15:$CE$16</c:f>
              <c:strCache>
                <c:ptCount val="1"/>
                <c:pt idx="0">
                  <c:v>Drinking Coco</c:v>
                </c:pt>
              </c:strCache>
            </c:strRef>
          </c:tx>
          <c:spPr>
            <a:solidFill>
              <a:schemeClr val="accent5">
                <a:shade val="93000"/>
                <a:alpha val="88000"/>
              </a:schemeClr>
            </a:solidFill>
            <a:ln>
              <a:solidFill>
                <a:schemeClr val="accent5">
                  <a:shade val="93000"/>
                  <a:lumMod val="50000"/>
                </a:schemeClr>
              </a:solidFill>
            </a:ln>
            <a:effectLst/>
            <a:scene3d>
              <a:camera prst="orthographicFront"/>
              <a:lightRig rig="threePt" dir="t"/>
            </a:scene3d>
            <a:sp3d prstMaterial="flat">
              <a:contourClr>
                <a:schemeClr val="accent5">
                  <a:shade val="93000"/>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Tables'!$CE$17:$CE$27</c:f>
              <c:numCache>
                <c:formatCode>#,##0</c:formatCode>
                <c:ptCount val="10"/>
                <c:pt idx="0">
                  <c:v>538356</c:v>
                </c:pt>
                <c:pt idx="1">
                  <c:v>150423</c:v>
                </c:pt>
                <c:pt idx="3">
                  <c:v>153510</c:v>
                </c:pt>
                <c:pt idx="4">
                  <c:v>1596798</c:v>
                </c:pt>
                <c:pt idx="6">
                  <c:v>948402</c:v>
                </c:pt>
                <c:pt idx="7">
                  <c:v>1062432</c:v>
                </c:pt>
                <c:pt idx="8">
                  <c:v>2774016</c:v>
                </c:pt>
                <c:pt idx="9">
                  <c:v>260820</c:v>
                </c:pt>
              </c:numCache>
            </c:numRef>
          </c:val>
          <c:extLst>
            <c:ext xmlns:c16="http://schemas.microsoft.com/office/drawing/2014/chart" uri="{C3380CC4-5D6E-409C-BE32-E72D297353CC}">
              <c16:uniqueId val="{00000004-B5D1-400E-A6FC-21A73F5F6A2A}"/>
            </c:ext>
          </c:extLst>
        </c:ser>
        <c:ser>
          <c:idx val="5"/>
          <c:order val="5"/>
          <c:tx>
            <c:strRef>
              <c:f>'Pivot Tables'!$CF$15:$CF$16</c:f>
              <c:strCache>
                <c:ptCount val="1"/>
                <c:pt idx="0">
                  <c:v>Fruit &amp; Nut Bars</c:v>
                </c:pt>
              </c:strCache>
            </c:strRef>
          </c:tx>
          <c:spPr>
            <a:solidFill>
              <a:schemeClr val="accent5">
                <a:tint val="94000"/>
                <a:alpha val="88000"/>
              </a:schemeClr>
            </a:solidFill>
            <a:ln>
              <a:solidFill>
                <a:schemeClr val="accent5">
                  <a:tint val="94000"/>
                  <a:lumMod val="50000"/>
                </a:schemeClr>
              </a:solidFill>
            </a:ln>
            <a:effectLst/>
            <a:scene3d>
              <a:camera prst="orthographicFront"/>
              <a:lightRig rig="threePt" dir="t"/>
            </a:scene3d>
            <a:sp3d prstMaterial="flat">
              <a:contourClr>
                <a:schemeClr val="accent5">
                  <a:tint val="94000"/>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Tables'!$CF$17:$CF$27</c:f>
              <c:numCache>
                <c:formatCode>#,##0</c:formatCode>
                <c:ptCount val="10"/>
                <c:pt idx="0">
                  <c:v>988491</c:v>
                </c:pt>
                <c:pt idx="1">
                  <c:v>94710</c:v>
                </c:pt>
                <c:pt idx="2">
                  <c:v>1039143</c:v>
                </c:pt>
                <c:pt idx="3">
                  <c:v>935361</c:v>
                </c:pt>
                <c:pt idx="4">
                  <c:v>698481</c:v>
                </c:pt>
                <c:pt idx="5">
                  <c:v>208425</c:v>
                </c:pt>
                <c:pt idx="7">
                  <c:v>745227</c:v>
                </c:pt>
                <c:pt idx="8">
                  <c:v>2487240</c:v>
                </c:pt>
                <c:pt idx="9">
                  <c:v>1150884</c:v>
                </c:pt>
              </c:numCache>
            </c:numRef>
          </c:val>
          <c:extLst>
            <c:ext xmlns:c16="http://schemas.microsoft.com/office/drawing/2014/chart" uri="{C3380CC4-5D6E-409C-BE32-E72D297353CC}">
              <c16:uniqueId val="{00000005-B5D1-400E-A6FC-21A73F5F6A2A}"/>
            </c:ext>
          </c:extLst>
        </c:ser>
        <c:ser>
          <c:idx val="6"/>
          <c:order val="6"/>
          <c:tx>
            <c:strRef>
              <c:f>'Pivot Tables'!$CG$15:$CG$16</c:f>
              <c:strCache>
                <c:ptCount val="1"/>
                <c:pt idx="0">
                  <c:v>Milk Bars</c:v>
                </c:pt>
              </c:strCache>
            </c:strRef>
          </c:tx>
          <c:spPr>
            <a:solidFill>
              <a:schemeClr val="accent5">
                <a:tint val="81000"/>
                <a:alpha val="88000"/>
              </a:schemeClr>
            </a:solidFill>
            <a:ln>
              <a:solidFill>
                <a:schemeClr val="accent5">
                  <a:tint val="81000"/>
                  <a:lumMod val="50000"/>
                </a:schemeClr>
              </a:solidFill>
            </a:ln>
            <a:effectLst/>
            <a:scene3d>
              <a:camera prst="orthographicFront"/>
              <a:lightRig rig="threePt" dir="t"/>
            </a:scene3d>
            <a:sp3d prstMaterial="flat">
              <a:contourClr>
                <a:schemeClr val="accent5">
                  <a:tint val="81000"/>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Tables'!$CG$17:$CG$27</c:f>
              <c:numCache>
                <c:formatCode>#,##0</c:formatCode>
                <c:ptCount val="10"/>
                <c:pt idx="1">
                  <c:v>775404</c:v>
                </c:pt>
                <c:pt idx="3">
                  <c:v>414561</c:v>
                </c:pt>
                <c:pt idx="4">
                  <c:v>16464</c:v>
                </c:pt>
                <c:pt idx="5">
                  <c:v>2573214</c:v>
                </c:pt>
                <c:pt idx="7">
                  <c:v>78624</c:v>
                </c:pt>
                <c:pt idx="8">
                  <c:v>2710281</c:v>
                </c:pt>
                <c:pt idx="9">
                  <c:v>417690</c:v>
                </c:pt>
              </c:numCache>
            </c:numRef>
          </c:val>
          <c:extLst>
            <c:ext xmlns:c16="http://schemas.microsoft.com/office/drawing/2014/chart" uri="{C3380CC4-5D6E-409C-BE32-E72D297353CC}">
              <c16:uniqueId val="{00000006-B5D1-400E-A6FC-21A73F5F6A2A}"/>
            </c:ext>
          </c:extLst>
        </c:ser>
        <c:ser>
          <c:idx val="7"/>
          <c:order val="7"/>
          <c:tx>
            <c:strRef>
              <c:f>'Pivot Tables'!$CH$15:$CH$16</c:f>
              <c:strCache>
                <c:ptCount val="1"/>
                <c:pt idx="0">
                  <c:v>Mint Chip Choco</c:v>
                </c:pt>
              </c:strCache>
            </c:strRef>
          </c:tx>
          <c:spPr>
            <a:solidFill>
              <a:schemeClr val="accent5">
                <a:tint val="69000"/>
                <a:alpha val="88000"/>
              </a:schemeClr>
            </a:solidFill>
            <a:ln>
              <a:solidFill>
                <a:schemeClr val="accent5">
                  <a:tint val="69000"/>
                  <a:lumMod val="50000"/>
                </a:schemeClr>
              </a:solidFill>
            </a:ln>
            <a:effectLst/>
            <a:scene3d>
              <a:camera prst="orthographicFront"/>
              <a:lightRig rig="threePt" dir="t"/>
            </a:scene3d>
            <a:sp3d prstMaterial="flat">
              <a:contourClr>
                <a:schemeClr val="accent5">
                  <a:tint val="69000"/>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Tables'!$CH$17:$CH$27</c:f>
              <c:numCache>
                <c:formatCode>#,##0</c:formatCode>
                <c:ptCount val="10"/>
                <c:pt idx="0">
                  <c:v>494802</c:v>
                </c:pt>
                <c:pt idx="1">
                  <c:v>631176</c:v>
                </c:pt>
                <c:pt idx="2">
                  <c:v>334656</c:v>
                </c:pt>
                <c:pt idx="3">
                  <c:v>943173</c:v>
                </c:pt>
                <c:pt idx="4">
                  <c:v>475629</c:v>
                </c:pt>
                <c:pt idx="5">
                  <c:v>822150</c:v>
                </c:pt>
                <c:pt idx="6">
                  <c:v>1551816</c:v>
                </c:pt>
                <c:pt idx="8">
                  <c:v>286650</c:v>
                </c:pt>
                <c:pt idx="9">
                  <c:v>439971</c:v>
                </c:pt>
              </c:numCache>
            </c:numRef>
          </c:val>
          <c:extLst>
            <c:ext xmlns:c16="http://schemas.microsoft.com/office/drawing/2014/chart" uri="{C3380CC4-5D6E-409C-BE32-E72D297353CC}">
              <c16:uniqueId val="{00000007-B5D1-400E-A6FC-21A73F5F6A2A}"/>
            </c:ext>
          </c:extLst>
        </c:ser>
        <c:ser>
          <c:idx val="8"/>
          <c:order val="8"/>
          <c:tx>
            <c:strRef>
              <c:f>'Pivot Tables'!$CI$15:$CI$16</c:f>
              <c:strCache>
                <c:ptCount val="1"/>
                <c:pt idx="0">
                  <c:v>Spicy Special Slims</c:v>
                </c:pt>
              </c:strCache>
            </c:strRef>
          </c:tx>
          <c:spPr>
            <a:solidFill>
              <a:schemeClr val="accent5">
                <a:tint val="56000"/>
                <a:alpha val="88000"/>
              </a:schemeClr>
            </a:solidFill>
            <a:ln>
              <a:solidFill>
                <a:schemeClr val="accent5">
                  <a:tint val="56000"/>
                  <a:lumMod val="50000"/>
                </a:schemeClr>
              </a:solidFill>
            </a:ln>
            <a:effectLst/>
            <a:scene3d>
              <a:camera prst="orthographicFront"/>
              <a:lightRig rig="threePt" dir="t"/>
            </a:scene3d>
            <a:sp3d prstMaterial="flat">
              <a:contourClr>
                <a:schemeClr val="accent5">
                  <a:tint val="56000"/>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Tables'!$CI$17:$CI$27</c:f>
              <c:numCache>
                <c:formatCode>#,##0</c:formatCode>
                <c:ptCount val="10"/>
                <c:pt idx="0">
                  <c:v>184464</c:v>
                </c:pt>
                <c:pt idx="3">
                  <c:v>294903</c:v>
                </c:pt>
                <c:pt idx="4">
                  <c:v>1629663</c:v>
                </c:pt>
                <c:pt idx="7">
                  <c:v>1555218</c:v>
                </c:pt>
                <c:pt idx="8">
                  <c:v>26397</c:v>
                </c:pt>
                <c:pt idx="9">
                  <c:v>539532</c:v>
                </c:pt>
              </c:numCache>
            </c:numRef>
          </c:val>
          <c:extLst>
            <c:ext xmlns:c16="http://schemas.microsoft.com/office/drawing/2014/chart" uri="{C3380CC4-5D6E-409C-BE32-E72D297353CC}">
              <c16:uniqueId val="{00000008-B5D1-400E-A6FC-21A73F5F6A2A}"/>
            </c:ext>
          </c:extLst>
        </c:ser>
        <c:ser>
          <c:idx val="9"/>
          <c:order val="9"/>
          <c:tx>
            <c:strRef>
              <c:f>'Pivot Tables'!$CJ$15:$CJ$16</c:f>
              <c:strCache>
                <c:ptCount val="1"/>
                <c:pt idx="0">
                  <c:v>White Choc</c:v>
                </c:pt>
              </c:strCache>
            </c:strRef>
          </c:tx>
          <c:spPr>
            <a:solidFill>
              <a:schemeClr val="accent5">
                <a:tint val="43000"/>
                <a:alpha val="88000"/>
              </a:schemeClr>
            </a:solidFill>
            <a:ln>
              <a:solidFill>
                <a:schemeClr val="accent5">
                  <a:tint val="43000"/>
                  <a:lumMod val="50000"/>
                </a:schemeClr>
              </a:solidFill>
            </a:ln>
            <a:effectLst/>
            <a:scene3d>
              <a:camera prst="orthographicFront"/>
              <a:lightRig rig="threePt" dir="t"/>
            </a:scene3d>
            <a:sp3d prstMaterial="flat">
              <a:contourClr>
                <a:schemeClr val="accent5">
                  <a:tint val="43000"/>
                  <a:lumMod val="50000"/>
                </a:schemeClr>
              </a:contourClr>
            </a:sp3d>
          </c:spPr>
          <c:invertIfNegative val="0"/>
          <c:cat>
            <c:strRef>
              <c:f>'Pivot Tables'!$BZ$17:$BZ$27</c:f>
              <c:strCache>
                <c:ptCount val="10"/>
                <c:pt idx="0">
                  <c:v>Husein Augar</c:v>
                </c:pt>
                <c:pt idx="1">
                  <c:v>Hesham gamal </c:v>
                </c:pt>
                <c:pt idx="2">
                  <c:v>Mohamed galal</c:v>
                </c:pt>
                <c:pt idx="3">
                  <c:v>Hassan ahmed </c:v>
                </c:pt>
                <c:pt idx="4">
                  <c:v>Mohamed Ali</c:v>
                </c:pt>
                <c:pt idx="5">
                  <c:v>Rahma mostafa </c:v>
                </c:pt>
                <c:pt idx="6">
                  <c:v>Sara khaled </c:v>
                </c:pt>
                <c:pt idx="7">
                  <c:v>Abd alrahman mohamed </c:v>
                </c:pt>
                <c:pt idx="8">
                  <c:v>Samira mostafa </c:v>
                </c:pt>
                <c:pt idx="9">
                  <c:v>Ahmed said </c:v>
                </c:pt>
              </c:strCache>
            </c:strRef>
          </c:cat>
          <c:val>
            <c:numRef>
              <c:f>'Pivot Tables'!$CJ$17:$CJ$27</c:f>
              <c:numCache>
                <c:formatCode>#,##0</c:formatCode>
                <c:ptCount val="10"/>
                <c:pt idx="0">
                  <c:v>1538292</c:v>
                </c:pt>
                <c:pt idx="1">
                  <c:v>1532013</c:v>
                </c:pt>
                <c:pt idx="2">
                  <c:v>971397</c:v>
                </c:pt>
                <c:pt idx="3">
                  <c:v>904575</c:v>
                </c:pt>
                <c:pt idx="4">
                  <c:v>824670</c:v>
                </c:pt>
                <c:pt idx="5">
                  <c:v>391860</c:v>
                </c:pt>
                <c:pt idx="6">
                  <c:v>150528</c:v>
                </c:pt>
                <c:pt idx="7">
                  <c:v>132804</c:v>
                </c:pt>
                <c:pt idx="8">
                  <c:v>3234</c:v>
                </c:pt>
              </c:numCache>
            </c:numRef>
          </c:val>
          <c:extLst>
            <c:ext xmlns:c16="http://schemas.microsoft.com/office/drawing/2014/chart" uri="{C3380CC4-5D6E-409C-BE32-E72D297353CC}">
              <c16:uniqueId val="{00000009-B5D1-400E-A6FC-21A73F5F6A2A}"/>
            </c:ext>
          </c:extLst>
        </c:ser>
        <c:dLbls>
          <c:showLegendKey val="0"/>
          <c:showVal val="0"/>
          <c:showCatName val="0"/>
          <c:showSerName val="0"/>
          <c:showPercent val="0"/>
          <c:showBubbleSize val="0"/>
        </c:dLbls>
        <c:gapWidth val="84"/>
        <c:gapDepth val="53"/>
        <c:shape val="box"/>
        <c:axId val="132574992"/>
        <c:axId val="132554352"/>
        <c:axId val="0"/>
      </c:bar3DChart>
      <c:catAx>
        <c:axId val="132574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132554352"/>
        <c:crosses val="autoZero"/>
        <c:auto val="1"/>
        <c:lblAlgn val="ctr"/>
        <c:lblOffset val="100"/>
        <c:noMultiLvlLbl val="0"/>
      </c:catAx>
      <c:valAx>
        <c:axId val="132554352"/>
        <c:scaling>
          <c:orientation val="minMax"/>
        </c:scaling>
        <c:delete val="1"/>
        <c:axPos val="b"/>
        <c:numFmt formatCode="#,##0" sourceLinked="1"/>
        <c:majorTickMark val="out"/>
        <c:minorTickMark val="none"/>
        <c:tickLblPos val="nextTo"/>
        <c:crossAx val="13257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nchor="ctr" anchorCtr="0"/>
    <a:lstStyle/>
    <a:p>
      <a:pPr>
        <a:defRPr>
          <a:gradFill>
            <a:gsLst>
              <a:gs pos="0">
                <a:schemeClr val="tx1">
                  <a:lumMod val="95000"/>
                  <a:lumOff val="5000"/>
                </a:schemeClr>
              </a:gs>
              <a:gs pos="43000">
                <a:schemeClr val="tx1">
                  <a:lumMod val="75000"/>
                  <a:lumOff val="25000"/>
                </a:schemeClr>
              </a:gs>
              <a:gs pos="100000">
                <a:schemeClr val="tx1">
                  <a:lumMod val="65000"/>
                  <a:lumOff val="35000"/>
                </a:schemeClr>
              </a:gs>
            </a:gsLst>
            <a:lin ang="162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_task_dashpourd(2).xlsx]Pivot Tables!PivotTable11</c:name>
    <c:fmtId val="20"/>
  </c:pivotSource>
  <c:chart>
    <c:title>
      <c:tx>
        <c:rich>
          <a:bodyPr rot="0" spcFirstLastPara="1" vertOverflow="ellipsis" vert="horz" wrap="square" anchor="ctr" anchorCtr="1"/>
          <a:lstStyle/>
          <a:p>
            <a:pPr>
              <a:defRPr lang="en-US" sz="2400" b="1" i="0" u="none" strike="noStrike" kern="1200" cap="all" spc="100" baseline="0">
                <a:gradFill>
                  <a:gsLst>
                    <a:gs pos="3000">
                      <a:srgbClr val="E7E6E6">
                        <a:lumMod val="10000"/>
                      </a:srgbClr>
                    </a:gs>
                    <a:gs pos="36000">
                      <a:sysClr val="windowText" lastClr="000000">
                        <a:lumMod val="75000"/>
                        <a:lumOff val="25000"/>
                      </a:sysClr>
                    </a:gs>
                    <a:gs pos="71000">
                      <a:srgbClr val="E7E6E6">
                        <a:lumMod val="50000"/>
                      </a:srgbClr>
                    </a:gs>
                    <a:gs pos="96000">
                      <a:srgbClr val="E7E6E6"/>
                    </a:gs>
                  </a:gsLst>
                  <a:lin ang="5400000" scaled="1"/>
                </a:gradFill>
                <a:effectLst>
                  <a:outerShdw blurRad="50800" dist="38100" dir="5400000" algn="t" rotWithShape="0">
                    <a:prstClr val="black">
                      <a:alpha val="40000"/>
                    </a:prstClr>
                  </a:outerShdw>
                </a:effectLst>
                <a:latin typeface="+mn-lt"/>
                <a:ea typeface="+mn-ea"/>
                <a:cs typeface="+mn-cs"/>
              </a:defRPr>
            </a:pPr>
            <a:r>
              <a:rPr lang="en-US" sz="2400" b="1" i="0" u="none" strike="noStrike" kern="1200" cap="all" baseline="0">
                <a:solidFill>
                  <a:schemeClr val="accent5">
                    <a:lumMod val="20000"/>
                    <a:lumOff val="80000"/>
                  </a:schemeClr>
                </a:solidFill>
                <a:latin typeface="+mn-lt"/>
                <a:ea typeface="+mn-ea"/>
                <a:cs typeface="+mn-cs"/>
              </a:rPr>
              <a:t>Total Sales per city</a:t>
            </a:r>
          </a:p>
        </c:rich>
      </c:tx>
      <c:overlay val="0"/>
      <c:spPr>
        <a:noFill/>
        <a:ln>
          <a:noFill/>
        </a:ln>
        <a:effectLst/>
      </c:spPr>
      <c:txPr>
        <a:bodyPr rot="0" spcFirstLastPara="1" vertOverflow="ellipsis" vert="horz" wrap="square" anchor="ctr" anchorCtr="1"/>
        <a:lstStyle/>
        <a:p>
          <a:pPr>
            <a:defRPr lang="en-US" sz="2400" b="1" i="0" u="none" strike="noStrike" kern="1200" cap="all" spc="100" baseline="0">
              <a:gradFill>
                <a:gsLst>
                  <a:gs pos="3000">
                    <a:srgbClr val="E7E6E6">
                      <a:lumMod val="10000"/>
                    </a:srgbClr>
                  </a:gs>
                  <a:gs pos="36000">
                    <a:sysClr val="windowText" lastClr="000000">
                      <a:lumMod val="75000"/>
                      <a:lumOff val="25000"/>
                    </a:sysClr>
                  </a:gs>
                  <a:gs pos="71000">
                    <a:srgbClr val="E7E6E6">
                      <a:lumMod val="50000"/>
                    </a:srgbClr>
                  </a:gs>
                  <a:gs pos="96000">
                    <a:srgbClr val="E7E6E6"/>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Tables'!$AX$6:$AX$7</c:f>
              <c:strCache>
                <c:ptCount val="1"/>
                <c:pt idx="0">
                  <c:v>White Choc</c:v>
                </c:pt>
              </c:strCache>
            </c:strRef>
          </c:tx>
          <c:spPr>
            <a:gradFill rotWithShape="1">
              <a:gsLst>
                <a:gs pos="0">
                  <a:schemeClr val="accent5">
                    <a:shade val="42000"/>
                    <a:satMod val="103000"/>
                    <a:lumMod val="102000"/>
                    <a:tint val="94000"/>
                  </a:schemeClr>
                </a:gs>
                <a:gs pos="50000">
                  <a:schemeClr val="accent5">
                    <a:shade val="42000"/>
                    <a:satMod val="110000"/>
                    <a:lumMod val="100000"/>
                    <a:shade val="100000"/>
                  </a:schemeClr>
                </a:gs>
                <a:gs pos="100000">
                  <a:schemeClr val="accent5">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Tables'!$AX$8:$AX$14</c:f>
              <c:numCache>
                <c:formatCode>#,##0</c:formatCode>
                <c:ptCount val="6"/>
                <c:pt idx="0">
                  <c:v>428326.5</c:v>
                </c:pt>
                <c:pt idx="1">
                  <c:v>576576</c:v>
                </c:pt>
                <c:pt idx="2">
                  <c:v>250842.375</c:v>
                </c:pt>
                <c:pt idx="3">
                  <c:v>179193</c:v>
                </c:pt>
                <c:pt idx="4">
                  <c:v>641298</c:v>
                </c:pt>
                <c:pt idx="5">
                  <c:v>182644</c:v>
                </c:pt>
              </c:numCache>
            </c:numRef>
          </c:val>
          <c:extLst>
            <c:ext xmlns:c16="http://schemas.microsoft.com/office/drawing/2014/chart" uri="{C3380CC4-5D6E-409C-BE32-E72D297353CC}">
              <c16:uniqueId val="{00000000-A3FE-481E-8974-5845DF30AF8C}"/>
            </c:ext>
          </c:extLst>
        </c:ser>
        <c:ser>
          <c:idx val="1"/>
          <c:order val="1"/>
          <c:tx>
            <c:strRef>
              <c:f>'Pivot Tables'!$AY$6:$AY$7</c:f>
              <c:strCache>
                <c:ptCount val="1"/>
                <c:pt idx="0">
                  <c:v>Spicy Special Slims</c:v>
                </c:pt>
              </c:strCache>
            </c:strRef>
          </c:tx>
          <c:spPr>
            <a:gradFill rotWithShape="1">
              <a:gsLst>
                <a:gs pos="0">
                  <a:schemeClr val="accent5">
                    <a:shade val="55000"/>
                    <a:satMod val="103000"/>
                    <a:lumMod val="102000"/>
                    <a:tint val="94000"/>
                  </a:schemeClr>
                </a:gs>
                <a:gs pos="50000">
                  <a:schemeClr val="accent5">
                    <a:shade val="55000"/>
                    <a:satMod val="110000"/>
                    <a:lumMod val="100000"/>
                    <a:shade val="100000"/>
                  </a:schemeClr>
                </a:gs>
                <a:gs pos="100000">
                  <a:schemeClr val="accent5">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Tables'!$AY$8:$AY$14</c:f>
              <c:numCache>
                <c:formatCode>#,##0</c:formatCode>
                <c:ptCount val="6"/>
                <c:pt idx="0">
                  <c:v>44905</c:v>
                </c:pt>
                <c:pt idx="1">
                  <c:v>129276</c:v>
                </c:pt>
                <c:pt idx="2">
                  <c:v>382683</c:v>
                </c:pt>
                <c:pt idx="3">
                  <c:v>31311</c:v>
                </c:pt>
                <c:pt idx="4">
                  <c:v>1492522.5</c:v>
                </c:pt>
                <c:pt idx="5">
                  <c:v>184464</c:v>
                </c:pt>
              </c:numCache>
            </c:numRef>
          </c:val>
          <c:extLst>
            <c:ext xmlns:c16="http://schemas.microsoft.com/office/drawing/2014/chart" uri="{C3380CC4-5D6E-409C-BE32-E72D297353CC}">
              <c16:uniqueId val="{00000001-A3FE-481E-8974-5845DF30AF8C}"/>
            </c:ext>
          </c:extLst>
        </c:ser>
        <c:ser>
          <c:idx val="2"/>
          <c:order val="2"/>
          <c:tx>
            <c:strRef>
              <c:f>'Pivot Tables'!$AZ$6:$AZ$7</c:f>
              <c:strCache>
                <c:ptCount val="1"/>
                <c:pt idx="0">
                  <c:v>Organic Choco Syrup</c:v>
                </c:pt>
              </c:strCache>
            </c:strRef>
          </c:tx>
          <c:spPr>
            <a:gradFill rotWithShape="1">
              <a:gsLst>
                <a:gs pos="0">
                  <a:schemeClr val="accent5">
                    <a:shade val="68000"/>
                    <a:satMod val="103000"/>
                    <a:lumMod val="102000"/>
                    <a:tint val="94000"/>
                  </a:schemeClr>
                </a:gs>
                <a:gs pos="50000">
                  <a:schemeClr val="accent5">
                    <a:shade val="68000"/>
                    <a:satMod val="110000"/>
                    <a:lumMod val="100000"/>
                    <a:shade val="100000"/>
                  </a:schemeClr>
                </a:gs>
                <a:gs pos="100000">
                  <a:schemeClr val="accent5">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Tables'!$AZ$8:$AZ$14</c:f>
              <c:numCache>
                <c:formatCode>#,##0</c:formatCode>
                <c:ptCount val="6"/>
                <c:pt idx="0">
                  <c:v>570276</c:v>
                </c:pt>
                <c:pt idx="1">
                  <c:v>524181</c:v>
                </c:pt>
                <c:pt idx="2">
                  <c:v>231336</c:v>
                </c:pt>
                <c:pt idx="3">
                  <c:v>958534.5</c:v>
                </c:pt>
                <c:pt idx="4">
                  <c:v>338380</c:v>
                </c:pt>
                <c:pt idx="5">
                  <c:v>444605</c:v>
                </c:pt>
              </c:numCache>
            </c:numRef>
          </c:val>
          <c:extLst>
            <c:ext xmlns:c16="http://schemas.microsoft.com/office/drawing/2014/chart" uri="{C3380CC4-5D6E-409C-BE32-E72D297353CC}">
              <c16:uniqueId val="{00000002-A3FE-481E-8974-5845DF30AF8C}"/>
            </c:ext>
          </c:extLst>
        </c:ser>
        <c:ser>
          <c:idx val="3"/>
          <c:order val="3"/>
          <c:tx>
            <c:strRef>
              <c:f>'Pivot Tables'!$BA$6:$BA$7</c:f>
              <c:strCache>
                <c:ptCount val="1"/>
                <c:pt idx="0">
                  <c:v>Mint Chip Choco</c:v>
                </c:pt>
              </c:strCache>
            </c:strRef>
          </c:tx>
          <c:spPr>
            <a:gradFill rotWithShape="1">
              <a:gsLst>
                <a:gs pos="0">
                  <a:schemeClr val="accent5">
                    <a:shade val="80000"/>
                    <a:satMod val="103000"/>
                    <a:lumMod val="102000"/>
                    <a:tint val="94000"/>
                  </a:schemeClr>
                </a:gs>
                <a:gs pos="50000">
                  <a:schemeClr val="accent5">
                    <a:shade val="80000"/>
                    <a:satMod val="110000"/>
                    <a:lumMod val="100000"/>
                    <a:shade val="100000"/>
                  </a:schemeClr>
                </a:gs>
                <a:gs pos="100000">
                  <a:schemeClr val="accent5">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Tables'!$BA$8:$BA$14</c:f>
              <c:numCache>
                <c:formatCode>#,##0</c:formatCode>
                <c:ptCount val="6"/>
                <c:pt idx="0">
                  <c:v>1132645.5</c:v>
                </c:pt>
                <c:pt idx="1">
                  <c:v>439897.5</c:v>
                </c:pt>
                <c:pt idx="2">
                  <c:v>161574</c:v>
                </c:pt>
                <c:pt idx="3">
                  <c:v>400687</c:v>
                </c:pt>
                <c:pt idx="4">
                  <c:v>119700</c:v>
                </c:pt>
                <c:pt idx="5">
                  <c:v>267582</c:v>
                </c:pt>
              </c:numCache>
            </c:numRef>
          </c:val>
          <c:extLst>
            <c:ext xmlns:c16="http://schemas.microsoft.com/office/drawing/2014/chart" uri="{C3380CC4-5D6E-409C-BE32-E72D297353CC}">
              <c16:uniqueId val="{00000003-A3FE-481E-8974-5845DF30AF8C}"/>
            </c:ext>
          </c:extLst>
        </c:ser>
        <c:ser>
          <c:idx val="4"/>
          <c:order val="4"/>
          <c:tx>
            <c:strRef>
              <c:f>'Pivot Tables'!$BB$6:$BB$7</c:f>
              <c:strCache>
                <c:ptCount val="1"/>
                <c:pt idx="0">
                  <c:v>Milk Bars</c:v>
                </c:pt>
              </c:strCache>
            </c:strRef>
          </c:tx>
          <c:spPr>
            <a:gradFill rotWithShape="1">
              <a:gsLst>
                <a:gs pos="0">
                  <a:schemeClr val="accent5">
                    <a:shade val="93000"/>
                    <a:satMod val="103000"/>
                    <a:lumMod val="102000"/>
                    <a:tint val="94000"/>
                  </a:schemeClr>
                </a:gs>
                <a:gs pos="50000">
                  <a:schemeClr val="accent5">
                    <a:shade val="93000"/>
                    <a:satMod val="110000"/>
                    <a:lumMod val="100000"/>
                    <a:shade val="100000"/>
                  </a:schemeClr>
                </a:gs>
                <a:gs pos="100000">
                  <a:schemeClr val="accent5">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Tables'!$BB$8:$BB$14</c:f>
              <c:numCache>
                <c:formatCode>#,##0</c:formatCode>
                <c:ptCount val="6"/>
                <c:pt idx="1">
                  <c:v>328440</c:v>
                </c:pt>
                <c:pt idx="2">
                  <c:v>464247</c:v>
                </c:pt>
                <c:pt idx="3">
                  <c:v>771741.6</c:v>
                </c:pt>
                <c:pt idx="5">
                  <c:v>13608</c:v>
                </c:pt>
              </c:numCache>
            </c:numRef>
          </c:val>
          <c:extLst>
            <c:ext xmlns:c16="http://schemas.microsoft.com/office/drawing/2014/chart" uri="{C3380CC4-5D6E-409C-BE32-E72D297353CC}">
              <c16:uniqueId val="{00000004-A3FE-481E-8974-5845DF30AF8C}"/>
            </c:ext>
          </c:extLst>
        </c:ser>
        <c:ser>
          <c:idx val="5"/>
          <c:order val="5"/>
          <c:tx>
            <c:strRef>
              <c:f>'Pivot Tables'!$BC$6:$BC$7</c:f>
              <c:strCache>
                <c:ptCount val="1"/>
                <c:pt idx="0">
                  <c:v>Fruit &amp; Nut Bars</c:v>
                </c:pt>
              </c:strCache>
            </c:strRef>
          </c:tx>
          <c:spPr>
            <a:gradFill rotWithShape="1">
              <a:gsLst>
                <a:gs pos="0">
                  <a:schemeClr val="accent5">
                    <a:tint val="94000"/>
                    <a:satMod val="103000"/>
                    <a:lumMod val="102000"/>
                    <a:tint val="94000"/>
                  </a:schemeClr>
                </a:gs>
                <a:gs pos="50000">
                  <a:schemeClr val="accent5">
                    <a:tint val="94000"/>
                    <a:satMod val="110000"/>
                    <a:lumMod val="100000"/>
                    <a:shade val="100000"/>
                  </a:schemeClr>
                </a:gs>
                <a:gs pos="100000">
                  <a:schemeClr val="accent5">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Tables'!$BC$8:$BC$14</c:f>
              <c:numCache>
                <c:formatCode>#,##0</c:formatCode>
                <c:ptCount val="6"/>
                <c:pt idx="0">
                  <c:v>443464</c:v>
                </c:pt>
                <c:pt idx="1">
                  <c:v>157794</c:v>
                </c:pt>
                <c:pt idx="2">
                  <c:v>536917.5</c:v>
                </c:pt>
                <c:pt idx="3">
                  <c:v>518710.5</c:v>
                </c:pt>
                <c:pt idx="4">
                  <c:v>22680</c:v>
                </c:pt>
                <c:pt idx="5">
                  <c:v>526917</c:v>
                </c:pt>
              </c:numCache>
            </c:numRef>
          </c:val>
          <c:extLst>
            <c:ext xmlns:c16="http://schemas.microsoft.com/office/drawing/2014/chart" uri="{C3380CC4-5D6E-409C-BE32-E72D297353CC}">
              <c16:uniqueId val="{00000005-A3FE-481E-8974-5845DF30AF8C}"/>
            </c:ext>
          </c:extLst>
        </c:ser>
        <c:ser>
          <c:idx val="6"/>
          <c:order val="6"/>
          <c:tx>
            <c:strRef>
              <c:f>'Pivot Tables'!$BD$6:$BD$7</c:f>
              <c:strCache>
                <c:ptCount val="1"/>
                <c:pt idx="0">
                  <c:v>Eclairs</c:v>
                </c:pt>
              </c:strCache>
            </c:strRef>
          </c:tx>
          <c:spPr>
            <a:gradFill rotWithShape="1">
              <a:gsLst>
                <a:gs pos="0">
                  <a:schemeClr val="accent5">
                    <a:tint val="81000"/>
                    <a:satMod val="103000"/>
                    <a:lumMod val="102000"/>
                    <a:tint val="94000"/>
                  </a:schemeClr>
                </a:gs>
                <a:gs pos="50000">
                  <a:schemeClr val="accent5">
                    <a:tint val="81000"/>
                    <a:satMod val="110000"/>
                    <a:lumMod val="100000"/>
                    <a:shade val="100000"/>
                  </a:schemeClr>
                </a:gs>
                <a:gs pos="100000">
                  <a:schemeClr val="accent5">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Tables'!$BD$8:$BD$14</c:f>
              <c:numCache>
                <c:formatCode>#,##0</c:formatCode>
                <c:ptCount val="6"/>
                <c:pt idx="0">
                  <c:v>1022245</c:v>
                </c:pt>
                <c:pt idx="1">
                  <c:v>481467</c:v>
                </c:pt>
                <c:pt idx="2">
                  <c:v>21672</c:v>
                </c:pt>
                <c:pt idx="3">
                  <c:v>648788</c:v>
                </c:pt>
                <c:pt idx="4">
                  <c:v>627522</c:v>
                </c:pt>
                <c:pt idx="5">
                  <c:v>308937</c:v>
                </c:pt>
              </c:numCache>
            </c:numRef>
          </c:val>
          <c:extLst>
            <c:ext xmlns:c16="http://schemas.microsoft.com/office/drawing/2014/chart" uri="{C3380CC4-5D6E-409C-BE32-E72D297353CC}">
              <c16:uniqueId val="{00000006-A3FE-481E-8974-5845DF30AF8C}"/>
            </c:ext>
          </c:extLst>
        </c:ser>
        <c:ser>
          <c:idx val="7"/>
          <c:order val="7"/>
          <c:tx>
            <c:strRef>
              <c:f>'Pivot Tables'!$BE$6:$BE$7</c:f>
              <c:strCache>
                <c:ptCount val="1"/>
                <c:pt idx="0">
                  <c:v>Almond Choco</c:v>
                </c:pt>
              </c:strCache>
            </c:strRef>
          </c:tx>
          <c:spPr>
            <a:gradFill rotWithShape="1">
              <a:gsLst>
                <a:gs pos="0">
                  <a:schemeClr val="accent5">
                    <a:tint val="69000"/>
                    <a:satMod val="103000"/>
                    <a:lumMod val="102000"/>
                    <a:tint val="94000"/>
                  </a:schemeClr>
                </a:gs>
                <a:gs pos="50000">
                  <a:schemeClr val="accent5">
                    <a:tint val="69000"/>
                    <a:satMod val="110000"/>
                    <a:lumMod val="100000"/>
                    <a:shade val="100000"/>
                  </a:schemeClr>
                </a:gs>
                <a:gs pos="100000">
                  <a:schemeClr val="accent5">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Tables'!$BE$8:$BE$14</c:f>
              <c:numCache>
                <c:formatCode>#,##0</c:formatCode>
                <c:ptCount val="6"/>
                <c:pt idx="0">
                  <c:v>198460.5</c:v>
                </c:pt>
                <c:pt idx="1">
                  <c:v>229691</c:v>
                </c:pt>
                <c:pt idx="2">
                  <c:v>682139.5</c:v>
                </c:pt>
                <c:pt idx="3">
                  <c:v>608286</c:v>
                </c:pt>
                <c:pt idx="5">
                  <c:v>25200</c:v>
                </c:pt>
              </c:numCache>
            </c:numRef>
          </c:val>
          <c:extLst>
            <c:ext xmlns:c16="http://schemas.microsoft.com/office/drawing/2014/chart" uri="{C3380CC4-5D6E-409C-BE32-E72D297353CC}">
              <c16:uniqueId val="{00000007-A3FE-481E-8974-5845DF30AF8C}"/>
            </c:ext>
          </c:extLst>
        </c:ser>
        <c:ser>
          <c:idx val="8"/>
          <c:order val="8"/>
          <c:tx>
            <c:strRef>
              <c:f>'Pivot Tables'!$BF$6:$BF$7</c:f>
              <c:strCache>
                <c:ptCount val="1"/>
                <c:pt idx="0">
                  <c:v>99% Dark &amp; Pure</c:v>
                </c:pt>
              </c:strCache>
            </c:strRef>
          </c:tx>
          <c:spPr>
            <a:gradFill rotWithShape="1">
              <a:gsLst>
                <a:gs pos="0">
                  <a:schemeClr val="accent5">
                    <a:tint val="56000"/>
                    <a:satMod val="103000"/>
                    <a:lumMod val="102000"/>
                    <a:tint val="94000"/>
                  </a:schemeClr>
                </a:gs>
                <a:gs pos="50000">
                  <a:schemeClr val="accent5">
                    <a:tint val="56000"/>
                    <a:satMod val="110000"/>
                    <a:lumMod val="100000"/>
                    <a:shade val="100000"/>
                  </a:schemeClr>
                </a:gs>
                <a:gs pos="100000">
                  <a:schemeClr val="accent5">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Tables'!$BF$8:$BF$14</c:f>
              <c:numCache>
                <c:formatCode>#,##0</c:formatCode>
                <c:ptCount val="6"/>
                <c:pt idx="0">
                  <c:v>175707</c:v>
                </c:pt>
                <c:pt idx="1">
                  <c:v>389662</c:v>
                </c:pt>
                <c:pt idx="2">
                  <c:v>919632</c:v>
                </c:pt>
                <c:pt idx="3">
                  <c:v>417886</c:v>
                </c:pt>
                <c:pt idx="5">
                  <c:v>703137.75</c:v>
                </c:pt>
              </c:numCache>
            </c:numRef>
          </c:val>
          <c:extLst>
            <c:ext xmlns:c16="http://schemas.microsoft.com/office/drawing/2014/chart" uri="{C3380CC4-5D6E-409C-BE32-E72D297353CC}">
              <c16:uniqueId val="{00000008-A3FE-481E-8974-5845DF30AF8C}"/>
            </c:ext>
          </c:extLst>
        </c:ser>
        <c:ser>
          <c:idx val="9"/>
          <c:order val="9"/>
          <c:tx>
            <c:strRef>
              <c:f>'Pivot Tables'!$BG$6:$BG$7</c:f>
              <c:strCache>
                <c:ptCount val="1"/>
                <c:pt idx="0">
                  <c:v>85% Dark Bars</c:v>
                </c:pt>
              </c:strCache>
            </c:strRef>
          </c:tx>
          <c:spPr>
            <a:gradFill rotWithShape="1">
              <a:gsLst>
                <a:gs pos="0">
                  <a:schemeClr val="accent5">
                    <a:tint val="43000"/>
                    <a:satMod val="103000"/>
                    <a:lumMod val="102000"/>
                    <a:tint val="94000"/>
                  </a:schemeClr>
                </a:gs>
                <a:gs pos="50000">
                  <a:schemeClr val="accent5">
                    <a:tint val="43000"/>
                    <a:satMod val="110000"/>
                    <a:lumMod val="100000"/>
                    <a:shade val="100000"/>
                  </a:schemeClr>
                </a:gs>
                <a:gs pos="100000">
                  <a:schemeClr val="accent5">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Tables'!$AW$8:$AW$14</c:f>
              <c:strCache>
                <c:ptCount val="6"/>
                <c:pt idx="0">
                  <c:v>Al Gharbia </c:v>
                </c:pt>
                <c:pt idx="1">
                  <c:v>Al sharqia </c:v>
                </c:pt>
                <c:pt idx="2">
                  <c:v>Alex </c:v>
                </c:pt>
                <c:pt idx="3">
                  <c:v>Cairo</c:v>
                </c:pt>
                <c:pt idx="4">
                  <c:v>Giza </c:v>
                </c:pt>
                <c:pt idx="5">
                  <c:v>Sharm </c:v>
                </c:pt>
              </c:strCache>
            </c:strRef>
          </c:cat>
          <c:val>
            <c:numRef>
              <c:f>'Pivot Tables'!$BG$8:$BG$14</c:f>
              <c:numCache>
                <c:formatCode>#,##0</c:formatCode>
                <c:ptCount val="6"/>
                <c:pt idx="0">
                  <c:v>652596</c:v>
                </c:pt>
                <c:pt idx="1">
                  <c:v>198513</c:v>
                </c:pt>
                <c:pt idx="2">
                  <c:v>139996.5</c:v>
                </c:pt>
                <c:pt idx="4">
                  <c:v>631855</c:v>
                </c:pt>
                <c:pt idx="5">
                  <c:v>1674918</c:v>
                </c:pt>
              </c:numCache>
            </c:numRef>
          </c:val>
          <c:extLst>
            <c:ext xmlns:c16="http://schemas.microsoft.com/office/drawing/2014/chart" uri="{C3380CC4-5D6E-409C-BE32-E72D297353CC}">
              <c16:uniqueId val="{00000009-A3FE-481E-8974-5845DF30AF8C}"/>
            </c:ext>
          </c:extLst>
        </c:ser>
        <c:dLbls>
          <c:showLegendKey val="0"/>
          <c:showVal val="0"/>
          <c:showCatName val="0"/>
          <c:showSerName val="0"/>
          <c:showPercent val="0"/>
          <c:showBubbleSize val="0"/>
        </c:dLbls>
        <c:gapWidth val="150"/>
        <c:shape val="box"/>
        <c:axId val="1971605696"/>
        <c:axId val="1971606656"/>
        <c:axId val="0"/>
      </c:bar3DChart>
      <c:catAx>
        <c:axId val="1971605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2">
                    <a:lumMod val="10000"/>
                  </a:schemeClr>
                </a:solidFill>
                <a:latin typeface="+mn-lt"/>
                <a:ea typeface="+mn-ea"/>
                <a:cs typeface="+mn-cs"/>
              </a:defRPr>
            </a:pPr>
            <a:endParaRPr lang="en-US"/>
          </a:p>
        </c:txPr>
        <c:crossAx val="1971606656"/>
        <c:crosses val="autoZero"/>
        <c:auto val="1"/>
        <c:lblAlgn val="ctr"/>
        <c:lblOffset val="100"/>
        <c:noMultiLvlLbl val="0"/>
      </c:catAx>
      <c:valAx>
        <c:axId val="1971606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cap="all" baseline="0">
                <a:solidFill>
                  <a:schemeClr val="accent5">
                    <a:lumMod val="20000"/>
                    <a:lumOff val="80000"/>
                  </a:schemeClr>
                </a:solidFill>
                <a:latin typeface="+mn-lt"/>
                <a:ea typeface="+mn-ea"/>
                <a:cs typeface="+mn-cs"/>
              </a:defRPr>
            </a:pPr>
            <a:endParaRPr lang="en-US"/>
          </a:p>
        </c:txPr>
        <c:crossAx val="1971605696"/>
        <c:crosses val="autoZero"/>
        <c:crossBetween val="between"/>
      </c:valAx>
      <c:spPr>
        <a:noFill/>
        <a:ln>
          <a:noFill/>
        </a:ln>
        <a:effectLst/>
      </c:spPr>
    </c:plotArea>
    <c:legend>
      <c:legendPos val="r"/>
      <c:layout>
        <c:manualLayout>
          <c:xMode val="edge"/>
          <c:yMode val="edge"/>
          <c:x val="0.82121747733833417"/>
          <c:y val="0.2346090991592413"/>
          <c:w val="0.17878254835803736"/>
          <c:h val="0.67649015536843971"/>
        </c:manualLayout>
      </c:layout>
      <c:overlay val="0"/>
      <c:spPr>
        <a:noFill/>
        <a:ln>
          <a:noFill/>
        </a:ln>
        <a:effectLst/>
      </c:spPr>
      <c:txPr>
        <a:bodyPr rot="0" spcFirstLastPara="1" vertOverflow="ellipsis" vert="horz" wrap="square" anchor="ctr" anchorCtr="1"/>
        <a:lstStyle/>
        <a:p>
          <a:pPr algn="ctr">
            <a:defRPr lang="en-US" sz="600" b="1" i="0" u="none" strike="noStrike" kern="1200" cap="all" baseline="0">
              <a:solidFill>
                <a:schemeClr val="accent5">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Units per sales person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91429932991646"/>
          <c:y val="0.16850948509485097"/>
          <c:w val="0.61530384346667766"/>
          <c:h val="0.45482576873012825"/>
        </c:manualLayout>
      </c:layout>
      <c:barChart>
        <c:barDir val="col"/>
        <c:grouping val="clustered"/>
        <c:varyColors val="0"/>
        <c:ser>
          <c:idx val="0"/>
          <c:order val="0"/>
          <c:tx>
            <c:v>Total</c:v>
          </c:tx>
          <c:spPr>
            <a:solidFill>
              <a:schemeClr val="bg1"/>
            </a:solidFill>
            <a:ln>
              <a:noFill/>
            </a:ln>
            <a:effectLst/>
          </c:spPr>
          <c:invertIfNegative val="0"/>
          <c:cat>
            <c:strLit>
              <c:ptCount val="10"/>
              <c:pt idx="0">
                <c:v>Hassan ahmed</c:v>
              </c:pt>
              <c:pt idx="1">
                <c:v>Sara khaled</c:v>
              </c:pt>
              <c:pt idx="2">
                <c:v>Mohamed Ali</c:v>
              </c:pt>
              <c:pt idx="3">
                <c:v>Mohamed galal</c:v>
              </c:pt>
              <c:pt idx="4">
                <c:v>Ahmed said</c:v>
              </c:pt>
              <c:pt idx="5">
                <c:v>Rahma mostafa</c:v>
              </c:pt>
              <c:pt idx="6">
                <c:v>Husein Augar</c:v>
              </c:pt>
              <c:pt idx="7">
                <c:v>Samira mostafa</c:v>
              </c:pt>
              <c:pt idx="8">
                <c:v>Abd alrahman mohamed</c:v>
              </c:pt>
              <c:pt idx="9">
                <c:v>Hesham gamal</c:v>
              </c:pt>
            </c:strLit>
          </c:cat>
          <c:val>
            <c:numLit>
              <c:formatCode>General</c:formatCode>
              <c:ptCount val="10"/>
              <c:pt idx="0">
                <c:v>6294</c:v>
              </c:pt>
              <c:pt idx="1">
                <c:v>5295</c:v>
              </c:pt>
              <c:pt idx="2">
                <c:v>5154</c:v>
              </c:pt>
              <c:pt idx="3">
                <c:v>5007</c:v>
              </c:pt>
              <c:pt idx="4">
                <c:v>4704</c:v>
              </c:pt>
              <c:pt idx="5">
                <c:v>4686</c:v>
              </c:pt>
              <c:pt idx="6">
                <c:v>4554</c:v>
              </c:pt>
              <c:pt idx="7">
                <c:v>4245</c:v>
              </c:pt>
              <c:pt idx="8">
                <c:v>4221</c:v>
              </c:pt>
              <c:pt idx="9">
                <c:v>3804</c:v>
              </c:pt>
            </c:numLit>
          </c:val>
          <c:extLst>
            <c:ext xmlns:c16="http://schemas.microsoft.com/office/drawing/2014/chart" uri="{C3380CC4-5D6E-409C-BE32-E72D297353CC}">
              <c16:uniqueId val="{00000000-6941-4EBF-A3A9-5BCA876F8832}"/>
            </c:ext>
          </c:extLst>
        </c:ser>
        <c:dLbls>
          <c:showLegendKey val="0"/>
          <c:showVal val="0"/>
          <c:showCatName val="0"/>
          <c:showSerName val="0"/>
          <c:showPercent val="0"/>
          <c:showBubbleSize val="0"/>
        </c:dLbls>
        <c:gapWidth val="219"/>
        <c:overlap val="-27"/>
        <c:axId val="398029640"/>
        <c:axId val="398028656"/>
      </c:barChart>
      <c:catAx>
        <c:axId val="39802964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398028656"/>
        <c:crosses val="autoZero"/>
        <c:auto val="1"/>
        <c:lblAlgn val="ctr"/>
        <c:lblOffset val="100"/>
        <c:noMultiLvlLbl val="0"/>
      </c:catAx>
      <c:valAx>
        <c:axId val="39802865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3980296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ar-EG"/>
    </a:p>
  </c:txPr>
  <c:printSettings>
    <c:headerFooter/>
    <c:pageMargins b="0.75" l="0.7" r="0.7" t="0.75" header="0.3" footer="0.3"/>
    <c:pageSetup/>
  </c:printSettings>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sales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hade val="50000"/>
            </a:schemeClr>
          </a:solidFill>
          <a:ln w="19050">
            <a:solidFill>
              <a:schemeClr val="lt1"/>
            </a:solidFill>
          </a:ln>
          <a:effectLst/>
        </c:spPr>
      </c:pivotFmt>
      <c:pivotFmt>
        <c:idx val="4"/>
        <c:spPr>
          <a:solidFill>
            <a:schemeClr val="accent5">
              <a:shade val="70000"/>
            </a:schemeClr>
          </a:solidFill>
          <a:ln w="19050">
            <a:solidFill>
              <a:schemeClr val="lt1"/>
            </a:solidFill>
          </a:ln>
          <a:effectLst/>
        </c:spPr>
      </c:pivotFmt>
      <c:pivotFmt>
        <c:idx val="5"/>
        <c:spPr>
          <a:solidFill>
            <a:schemeClr val="accent5">
              <a:shade val="90000"/>
            </a:schemeClr>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tint val="70000"/>
            </a:schemeClr>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hade val="50000"/>
            </a:schemeClr>
          </a:solidFill>
          <a:ln w="19050">
            <a:solidFill>
              <a:schemeClr val="lt1"/>
            </a:solidFill>
          </a:ln>
          <a:effectLst/>
        </c:spPr>
      </c:pivotFmt>
      <c:pivotFmt>
        <c:idx val="11"/>
        <c:spPr>
          <a:solidFill>
            <a:schemeClr val="accent5">
              <a:shade val="70000"/>
            </a:schemeClr>
          </a:solidFill>
          <a:ln w="19050">
            <a:solidFill>
              <a:schemeClr val="lt1"/>
            </a:solidFill>
          </a:ln>
          <a:effectLst/>
        </c:spPr>
      </c:pivotFmt>
      <c:pivotFmt>
        <c:idx val="12"/>
        <c:spPr>
          <a:solidFill>
            <a:schemeClr val="accent5">
              <a:shade val="90000"/>
            </a:schemeClr>
          </a:solidFill>
          <a:ln w="19050">
            <a:solidFill>
              <a:schemeClr val="lt1"/>
            </a:solidFill>
          </a:ln>
          <a:effectLst/>
        </c:spPr>
      </c:pivotFmt>
      <c:pivotFmt>
        <c:idx val="13"/>
        <c:spPr>
          <a:solidFill>
            <a:schemeClr val="accent5"/>
          </a:solidFill>
          <a:ln w="19050">
            <a:solidFill>
              <a:schemeClr val="lt1"/>
            </a:solidFill>
          </a:ln>
          <a:effectLst/>
        </c:spPr>
      </c:pivotFmt>
      <c:pivotFmt>
        <c:idx val="14"/>
        <c:spPr>
          <a:solidFill>
            <a:schemeClr val="accent5">
              <a:tint val="70000"/>
            </a:schemeClr>
          </a:solidFill>
          <a:ln w="19050">
            <a:solidFill>
              <a:schemeClr val="lt1"/>
            </a:solidFill>
          </a:ln>
          <a:effectLst/>
        </c:spPr>
      </c:pivotFmt>
      <c:pivotFmt>
        <c:idx val="15"/>
        <c:spPr>
          <a:solidFill>
            <a:schemeClr val="accent5"/>
          </a:solidFill>
          <a:ln w="19050">
            <a:solidFill>
              <a:schemeClr val="lt1"/>
            </a:solidFill>
          </a:ln>
          <a:effectLst/>
        </c:spPr>
      </c:pivotFmt>
    </c:pivotFmts>
    <c:plotArea>
      <c:layout/>
      <c:pieChart>
        <c:varyColors val="1"/>
        <c:ser>
          <c:idx val="0"/>
          <c:order val="0"/>
          <c:tx>
            <c:v>Total</c:v>
          </c:tx>
          <c:dPt>
            <c:idx val="0"/>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01-5708-4D5A-A7F3-EA33505C1E65}"/>
              </c:ext>
            </c:extLst>
          </c:dPt>
          <c:dPt>
            <c:idx val="1"/>
            <c:bubble3D val="0"/>
            <c:spPr>
              <a:solidFill>
                <a:schemeClr val="accent5">
                  <a:shade val="70000"/>
                </a:schemeClr>
              </a:solidFill>
              <a:ln w="19050">
                <a:solidFill>
                  <a:schemeClr val="lt1"/>
                </a:solidFill>
              </a:ln>
              <a:effectLst/>
            </c:spPr>
            <c:extLst>
              <c:ext xmlns:c16="http://schemas.microsoft.com/office/drawing/2014/chart" uri="{C3380CC4-5D6E-409C-BE32-E72D297353CC}">
                <c16:uniqueId val="{00000003-5708-4D5A-A7F3-EA33505C1E65}"/>
              </c:ext>
            </c:extLst>
          </c:dPt>
          <c:dPt>
            <c:idx val="2"/>
            <c:bubble3D val="0"/>
            <c:spPr>
              <a:solidFill>
                <a:schemeClr val="accent5">
                  <a:shade val="90000"/>
                </a:schemeClr>
              </a:solidFill>
              <a:ln w="19050">
                <a:solidFill>
                  <a:schemeClr val="lt1"/>
                </a:solidFill>
              </a:ln>
              <a:effectLst/>
            </c:spPr>
            <c:extLst>
              <c:ext xmlns:c16="http://schemas.microsoft.com/office/drawing/2014/chart" uri="{C3380CC4-5D6E-409C-BE32-E72D297353CC}">
                <c16:uniqueId val="{00000005-5708-4D5A-A7F3-EA33505C1E65}"/>
              </c:ext>
            </c:extLst>
          </c:dPt>
          <c:dPt>
            <c:idx val="3"/>
            <c:bubble3D val="0"/>
            <c:spPr>
              <a:solidFill>
                <a:schemeClr val="accent5">
                  <a:tint val="90000"/>
                </a:schemeClr>
              </a:solidFill>
              <a:ln w="19050">
                <a:solidFill>
                  <a:schemeClr val="lt1"/>
                </a:solidFill>
              </a:ln>
              <a:effectLst/>
            </c:spPr>
            <c:extLst>
              <c:ext xmlns:c16="http://schemas.microsoft.com/office/drawing/2014/chart" uri="{C3380CC4-5D6E-409C-BE32-E72D297353CC}">
                <c16:uniqueId val="{00000007-5708-4D5A-A7F3-EA33505C1E65}"/>
              </c:ext>
            </c:extLst>
          </c:dPt>
          <c:dPt>
            <c:idx val="4"/>
            <c:bubble3D val="0"/>
            <c:spPr>
              <a:solidFill>
                <a:schemeClr val="accent5">
                  <a:tint val="70000"/>
                </a:schemeClr>
              </a:solidFill>
              <a:ln w="19050">
                <a:solidFill>
                  <a:schemeClr val="lt1"/>
                </a:solidFill>
              </a:ln>
              <a:effectLst/>
            </c:spPr>
            <c:extLst>
              <c:ext xmlns:c16="http://schemas.microsoft.com/office/drawing/2014/chart" uri="{C3380CC4-5D6E-409C-BE32-E72D297353CC}">
                <c16:uniqueId val="{00000009-5708-4D5A-A7F3-EA33505C1E65}"/>
              </c:ext>
            </c:extLst>
          </c:dPt>
          <c:dPt>
            <c:idx val="5"/>
            <c:bubble3D val="0"/>
            <c:spPr>
              <a:solidFill>
                <a:schemeClr val="accent5">
                  <a:tint val="50000"/>
                </a:schemeClr>
              </a:solidFill>
              <a:ln w="19050">
                <a:solidFill>
                  <a:schemeClr val="lt1"/>
                </a:solidFill>
              </a:ln>
              <a:effectLst/>
            </c:spPr>
            <c:extLst>
              <c:ext xmlns:c16="http://schemas.microsoft.com/office/drawing/2014/chart" uri="{C3380CC4-5D6E-409C-BE32-E72D297353CC}">
                <c16:uniqueId val="{0000000B-5708-4D5A-A7F3-EA33505C1E65}"/>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6"/>
              <c:pt idx="0">
                <c:v>Al Gharbia</c:v>
              </c:pt>
              <c:pt idx="1">
                <c:v>Al sharqia</c:v>
              </c:pt>
              <c:pt idx="2">
                <c:v>Alex</c:v>
              </c:pt>
              <c:pt idx="3">
                <c:v>Cairo</c:v>
              </c:pt>
              <c:pt idx="4">
                <c:v>Giza</c:v>
              </c:pt>
              <c:pt idx="5">
                <c:v>Sharm</c:v>
              </c:pt>
            </c:strLit>
          </c:cat>
          <c:val>
            <c:numLit>
              <c:formatCode>General</c:formatCode>
              <c:ptCount val="6"/>
              <c:pt idx="0">
                <c:v>0.13427993857816689</c:v>
              </c:pt>
              <c:pt idx="1">
                <c:v>0.21586547037917345</c:v>
              </c:pt>
              <c:pt idx="2">
                <c:v>0.16510682324838874</c:v>
              </c:pt>
              <c:pt idx="3">
                <c:v>0.14844104904099834</c:v>
              </c:pt>
              <c:pt idx="4">
                <c:v>0.10658202644795327</c:v>
              </c:pt>
              <c:pt idx="5">
                <c:v>0.22972469230531931</c:v>
              </c:pt>
            </c:numLit>
          </c:val>
          <c:extLst>
            <c:ext xmlns:c16="http://schemas.microsoft.com/office/drawing/2014/chart" uri="{C3380CC4-5D6E-409C-BE32-E72D297353CC}">
              <c16:uniqueId val="{0000000C-5708-4D5A-A7F3-EA33505C1E65}"/>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legend>
    <c:plotVisOnly val="1"/>
    <c:dispBlanksAs val="gap"/>
    <c:showDLblsOverMax val="0"/>
  </c:chart>
  <c:spPr>
    <a:noFill/>
    <a:ln w="9525" cap="flat" cmpd="sng" algn="ctr">
      <a:noFill/>
      <a:round/>
    </a:ln>
    <a:effectLst/>
  </c:spPr>
  <c:txPr>
    <a:bodyPr/>
    <a:lstStyle/>
    <a:p>
      <a:pPr>
        <a:defRPr>
          <a:solidFill>
            <a:schemeClr val="bg1"/>
          </a:solidFill>
        </a:defRPr>
      </a:pPr>
      <a:endParaRPr lang="ar-EG"/>
    </a:p>
  </c:txPr>
  <c:printSettings>
    <c:headerFooter/>
    <c:pageMargins b="0.75" l="0.7" r="0.7" t="0.75" header="0.3" footer="0.3"/>
    <c:pageSetup/>
  </c:printSettings>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t>Total Sales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242910647405027E-2"/>
          <c:y val="0.31795015057160492"/>
          <c:w val="0.85699472959138534"/>
          <c:h val="0.53802121578350026"/>
        </c:manualLayout>
      </c:layout>
      <c:lineChart>
        <c:grouping val="standard"/>
        <c:varyColors val="0"/>
        <c:ser>
          <c:idx val="0"/>
          <c:order val="0"/>
          <c:tx>
            <c:v>Total</c:v>
          </c:tx>
          <c:spPr>
            <a:ln w="28575" cap="rnd">
              <a:solidFill>
                <a:schemeClr val="bg1"/>
              </a:solidFill>
              <a:round/>
            </a:ln>
            <a:effectLst/>
          </c:spPr>
          <c:marker>
            <c:symbol val="none"/>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General</c:formatCode>
              <c:ptCount val="11"/>
              <c:pt idx="0">
                <c:v>28072401</c:v>
              </c:pt>
              <c:pt idx="1">
                <c:v>15279306</c:v>
              </c:pt>
              <c:pt idx="2">
                <c:v>22513827</c:v>
              </c:pt>
              <c:pt idx="3">
                <c:v>20188182</c:v>
              </c:pt>
              <c:pt idx="4">
                <c:v>19416075</c:v>
              </c:pt>
              <c:pt idx="5">
                <c:v>22639596</c:v>
              </c:pt>
              <c:pt idx="6">
                <c:v>17877531</c:v>
              </c:pt>
              <c:pt idx="7">
                <c:v>14735826</c:v>
              </c:pt>
              <c:pt idx="8">
                <c:v>14141106</c:v>
              </c:pt>
              <c:pt idx="9">
                <c:v>19977657</c:v>
              </c:pt>
              <c:pt idx="10">
                <c:v>8697192</c:v>
              </c:pt>
            </c:numLit>
          </c:val>
          <c:smooth val="0"/>
          <c:extLst>
            <c:ext xmlns:c16="http://schemas.microsoft.com/office/drawing/2014/chart" uri="{C3380CC4-5D6E-409C-BE32-E72D297353CC}">
              <c16:uniqueId val="{00000000-2D38-4E97-9B18-FDD52B532285}"/>
            </c:ext>
          </c:extLst>
        </c:ser>
        <c:dLbls>
          <c:showLegendKey val="0"/>
          <c:showVal val="0"/>
          <c:showCatName val="0"/>
          <c:showSerName val="0"/>
          <c:showPercent val="0"/>
          <c:showBubbleSize val="0"/>
        </c:dLbls>
        <c:smooth val="0"/>
        <c:axId val="398029312"/>
        <c:axId val="398030296"/>
      </c:lineChart>
      <c:catAx>
        <c:axId val="39802931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ar-EG"/>
          </a:p>
        </c:txPr>
        <c:crossAx val="398030296"/>
        <c:crosses val="autoZero"/>
        <c:auto val="1"/>
        <c:lblAlgn val="ctr"/>
        <c:lblOffset val="100"/>
        <c:noMultiLvlLbl val="0"/>
      </c:catAx>
      <c:valAx>
        <c:axId val="39803029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ar-EG"/>
          </a:p>
        </c:txPr>
        <c:crossAx val="3980293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lumMod val="95000"/>
            </a:schemeClr>
          </a:solidFill>
        </a:defRPr>
      </a:pPr>
      <a:endParaRPr lang="ar-EG"/>
    </a:p>
  </c:txPr>
  <c:printSettings>
    <c:headerFooter/>
    <c:pageMargins b="0.75" l="0.7" r="0.7" t="0.75" header="0.3" footer="0.3"/>
    <c:pageSetup/>
  </c:printSettings>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 sales per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59983195042539"/>
          <c:y val="0.20691771269177128"/>
          <c:w val="0.52754900931068782"/>
          <c:h val="0.66366377842936997"/>
        </c:manualLayout>
      </c:layout>
      <c:barChart>
        <c:barDir val="bar"/>
        <c:grouping val="clustered"/>
        <c:varyColors val="0"/>
        <c:ser>
          <c:idx val="0"/>
          <c:order val="0"/>
          <c:tx>
            <c:v>Total</c:v>
          </c:tx>
          <c:spPr>
            <a:solidFill>
              <a:schemeClr val="bg1"/>
            </a:solidFill>
            <a:ln>
              <a:noFill/>
            </a:ln>
            <a:effectLst/>
          </c:spPr>
          <c:invertIfNegative val="0"/>
          <c:cat>
            <c:strLit>
              <c:ptCount val="22"/>
              <c:pt idx="0">
                <c:v>Spicy Special Slims</c:v>
              </c:pt>
              <c:pt idx="1">
                <c:v>85% Dark Bars</c:v>
              </c:pt>
              <c:pt idx="2">
                <c:v>Mint Chip Choco</c:v>
              </c:pt>
              <c:pt idx="3">
                <c:v>Almond Choco</c:v>
              </c:pt>
              <c:pt idx="4">
                <c:v>White Choc</c:v>
              </c:pt>
              <c:pt idx="5">
                <c:v>99% Dark &amp; Pure</c:v>
              </c:pt>
              <c:pt idx="6">
                <c:v>Milk Bars</c:v>
              </c:pt>
              <c:pt idx="7">
                <c:v>Drinking Coco</c:v>
              </c:pt>
              <c:pt idx="8">
                <c:v>Fruit &amp; Nut Bars</c:v>
              </c:pt>
              <c:pt idx="9">
                <c:v>50% Dark Bites</c:v>
              </c:pt>
              <c:pt idx="10">
                <c:v>Eclairs</c:v>
              </c:pt>
              <c:pt idx="11">
                <c:v>After Nines</c:v>
              </c:pt>
              <c:pt idx="12">
                <c:v>Peanut Butter Cubes</c:v>
              </c:pt>
              <c:pt idx="13">
                <c:v>Raspberry Choco</c:v>
              </c:pt>
              <c:pt idx="14">
                <c:v>Manuka Honey Choco</c:v>
              </c:pt>
              <c:pt idx="15">
                <c:v>Baker's Choco Chips</c:v>
              </c:pt>
              <c:pt idx="16">
                <c:v>Organic Choco Syrup</c:v>
              </c:pt>
              <c:pt idx="17">
                <c:v>Smooth Sliky Salty</c:v>
              </c:pt>
              <c:pt idx="18">
                <c:v>70% Dark Bites</c:v>
              </c:pt>
              <c:pt idx="19">
                <c:v>Orange Choco</c:v>
              </c:pt>
              <c:pt idx="20">
                <c:v>Choco Coated Almonds</c:v>
              </c:pt>
              <c:pt idx="21">
                <c:v>Caramel Stuffed Bars</c:v>
              </c:pt>
            </c:strLit>
          </c:cat>
          <c:val>
            <c:numLit>
              <c:formatCode>General</c:formatCode>
              <c:ptCount val="22"/>
              <c:pt idx="0">
                <c:v>4230177</c:v>
              </c:pt>
              <c:pt idx="1">
                <c:v>4900098</c:v>
              </c:pt>
              <c:pt idx="2">
                <c:v>5980023</c:v>
              </c:pt>
              <c:pt idx="3">
                <c:v>6420603</c:v>
              </c:pt>
              <c:pt idx="4">
                <c:v>6449373</c:v>
              </c:pt>
              <c:pt idx="5">
                <c:v>6681948</c:v>
              </c:pt>
              <c:pt idx="6">
                <c:v>6986238</c:v>
              </c:pt>
              <c:pt idx="7">
                <c:v>7484757</c:v>
              </c:pt>
              <c:pt idx="8">
                <c:v>8347962</c:v>
              </c:pt>
              <c:pt idx="9">
                <c:v>8874474</c:v>
              </c:pt>
              <c:pt idx="10">
                <c:v>8933841</c:v>
              </c:pt>
              <c:pt idx="11">
                <c:v>9267573</c:v>
              </c:pt>
              <c:pt idx="12">
                <c:v>9393615</c:v>
              </c:pt>
              <c:pt idx="13">
                <c:v>9409596</c:v>
              </c:pt>
              <c:pt idx="14">
                <c:v>9762354</c:v>
              </c:pt>
              <c:pt idx="15">
                <c:v>9790893</c:v>
              </c:pt>
              <c:pt idx="16">
                <c:v>9836946</c:v>
              </c:pt>
              <c:pt idx="17">
                <c:v>11980836</c:v>
              </c:pt>
              <c:pt idx="18">
                <c:v>13848513</c:v>
              </c:pt>
              <c:pt idx="19">
                <c:v>14105994</c:v>
              </c:pt>
              <c:pt idx="20">
                <c:v>15386112</c:v>
              </c:pt>
              <c:pt idx="21">
                <c:v>15466773</c:v>
              </c:pt>
            </c:numLit>
          </c:val>
          <c:extLst>
            <c:ext xmlns:c16="http://schemas.microsoft.com/office/drawing/2014/chart" uri="{C3380CC4-5D6E-409C-BE32-E72D297353CC}">
              <c16:uniqueId val="{00000000-9382-4903-AAA4-7238FF532F25}"/>
            </c:ext>
          </c:extLst>
        </c:ser>
        <c:dLbls>
          <c:showLegendKey val="0"/>
          <c:showVal val="0"/>
          <c:showCatName val="0"/>
          <c:showSerName val="0"/>
          <c:showPercent val="0"/>
          <c:showBubbleSize val="0"/>
        </c:dLbls>
        <c:gapWidth val="182"/>
        <c:axId val="1954448176"/>
        <c:axId val="1954452976"/>
      </c:barChart>
      <c:catAx>
        <c:axId val="1954448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54452976"/>
        <c:crosses val="autoZero"/>
        <c:auto val="1"/>
        <c:lblAlgn val="ctr"/>
        <c:lblOffset val="100"/>
        <c:noMultiLvlLbl val="0"/>
      </c:catAx>
      <c:valAx>
        <c:axId val="19544529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5444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withinLinear" id="16">
  <a:schemeClr val="accent3"/>
</cs:colorStyle>
</file>

<file path=xl/charts/colors1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9.xml><?xml version="1.0" encoding="utf-8"?>
<cs:colorStyle xmlns:cs="http://schemas.microsoft.com/office/drawing/2012/chartStyle" xmlns:a="http://schemas.openxmlformats.org/drawingml/2006/main" meth="withinLinearReversed" id="23">
  <a:schemeClr val="accent3"/>
</cs:colorStyle>
</file>

<file path=xl/charts/colors2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Reversed" id="25">
  <a:schemeClr val="accent5"/>
</cs:colorStyle>
</file>

<file path=xl/charts/colors25.xml><?xml version="1.0" encoding="utf-8"?>
<cs:colorStyle xmlns:cs="http://schemas.microsoft.com/office/drawing/2012/chartStyle" xmlns:a="http://schemas.openxmlformats.org/drawingml/2006/main" meth="withinLinearReversed" id="25">
  <a:schemeClr val="accent5"/>
</cs:colorStyle>
</file>

<file path=xl/charts/colors26.xml><?xml version="1.0" encoding="utf-8"?>
<cs:colorStyle xmlns:cs="http://schemas.microsoft.com/office/drawing/2012/chartStyle" xmlns:a="http://schemas.openxmlformats.org/drawingml/2006/main" meth="withinLinearReversed" id="25">
  <a:schemeClr val="accent5"/>
</cs:colorStyle>
</file>

<file path=xl/charts/colors27.xml><?xml version="1.0" encoding="utf-8"?>
<cs:colorStyle xmlns:cs="http://schemas.microsoft.com/office/drawing/2012/chartStyle" xmlns:a="http://schemas.openxmlformats.org/drawingml/2006/main" meth="withinLinear" id="18">
  <a:schemeClr val="accent5"/>
</cs:colorStyle>
</file>

<file path=xl/charts/colors28.xml><?xml version="1.0" encoding="utf-8"?>
<cs:colorStyle xmlns:cs="http://schemas.microsoft.com/office/drawing/2012/chartStyle" xmlns:a="http://schemas.openxmlformats.org/drawingml/2006/main" meth="withinLinearReversed" id="25">
  <a:schemeClr val="accent5"/>
</cs:colorStyle>
</file>

<file path=xl/charts/colors29.xml><?xml version="1.0" encoding="utf-8"?>
<cs:colorStyle xmlns:cs="http://schemas.microsoft.com/office/drawing/2012/chartStyle" xmlns:a="http://schemas.openxmlformats.org/drawingml/2006/main" meth="withinLinear" id="18">
  <a:schemeClr val="accent5"/>
</cs:colorStyle>
</file>

<file path=xl/charts/colors3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1.xml><?xml version="1.0" encoding="utf-8"?>
<cs:colorStyle xmlns:cs="http://schemas.microsoft.com/office/drawing/2012/chartStyle" xmlns:a="http://schemas.openxmlformats.org/drawingml/2006/main" meth="withinLinear" id="18">
  <a:schemeClr val="accent5"/>
</cs:colorStyle>
</file>

<file path=xl/charts/colors32.xml><?xml version="1.0" encoding="utf-8"?>
<cs:colorStyle xmlns:cs="http://schemas.microsoft.com/office/drawing/2012/chartStyle" xmlns:a="http://schemas.openxmlformats.org/drawingml/2006/main" meth="withinLinear" id="18">
  <a:schemeClr val="accent5"/>
</cs:colorStyle>
</file>

<file path=xl/charts/colors33.xml><?xml version="1.0" encoding="utf-8"?>
<cs:colorStyle xmlns:cs="http://schemas.microsoft.com/office/drawing/2012/chartStyle" xmlns:a="http://schemas.openxmlformats.org/drawingml/2006/main" meth="withinLinear" id="18">
  <a:schemeClr val="accent5"/>
</cs:colorStyle>
</file>

<file path=xl/charts/colors34.xml><?xml version="1.0" encoding="utf-8"?>
<cs:colorStyle xmlns:cs="http://schemas.microsoft.com/office/drawing/2012/chartStyle" xmlns:a="http://schemas.openxmlformats.org/drawingml/2006/main" meth="withinLinearReversed" id="25">
  <a:schemeClr val="accent5"/>
</cs:colorStyle>
</file>

<file path=xl/charts/colors35.xml><?xml version="1.0" encoding="utf-8"?>
<cs:colorStyle xmlns:cs="http://schemas.microsoft.com/office/drawing/2012/chartStyle" xmlns:a="http://schemas.openxmlformats.org/drawingml/2006/main" meth="withinLinear" id="18">
  <a:schemeClr val="accent5"/>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3" Type="http://schemas.openxmlformats.org/officeDocument/2006/relationships/image" Target="../media/image8.png"/><Relationship Id="rId18" Type="http://schemas.openxmlformats.org/officeDocument/2006/relationships/image" Target="../media/image11.svg"/><Relationship Id="rId26" Type="http://schemas.openxmlformats.org/officeDocument/2006/relationships/chart" Target="../charts/chart26.xml"/><Relationship Id="rId39" Type="http://schemas.openxmlformats.org/officeDocument/2006/relationships/chart" Target="../charts/chart31.xml"/><Relationship Id="rId21" Type="http://schemas.openxmlformats.org/officeDocument/2006/relationships/chart" Target="../charts/chart21.xml"/><Relationship Id="rId34" Type="http://schemas.openxmlformats.org/officeDocument/2006/relationships/image" Target="../media/image20.png"/><Relationship Id="rId7" Type="http://schemas.openxmlformats.org/officeDocument/2006/relationships/image" Target="../media/image2.png"/><Relationship Id="rId2" Type="http://schemas.openxmlformats.org/officeDocument/2006/relationships/chart" Target="../charts/chart14.xml"/><Relationship Id="rId16" Type="http://schemas.openxmlformats.org/officeDocument/2006/relationships/chart" Target="../charts/chart20.xml"/><Relationship Id="rId20" Type="http://schemas.openxmlformats.org/officeDocument/2006/relationships/image" Target="../media/image13.svg"/><Relationship Id="rId29" Type="http://schemas.openxmlformats.org/officeDocument/2006/relationships/image" Target="../media/image15.svg"/><Relationship Id="rId41" Type="http://schemas.openxmlformats.org/officeDocument/2006/relationships/chart" Target="../charts/chart33.xml"/><Relationship Id="rId1" Type="http://schemas.openxmlformats.org/officeDocument/2006/relationships/image" Target="../media/image1.emf"/><Relationship Id="rId6" Type="http://schemas.openxmlformats.org/officeDocument/2006/relationships/chart" Target="../charts/chart18.xml"/><Relationship Id="rId11" Type="http://schemas.openxmlformats.org/officeDocument/2006/relationships/image" Target="../media/image6.png"/><Relationship Id="rId24" Type="http://schemas.openxmlformats.org/officeDocument/2006/relationships/chart" Target="../charts/chart24.xml"/><Relationship Id="rId32" Type="http://schemas.openxmlformats.org/officeDocument/2006/relationships/image" Target="../media/image18.png"/><Relationship Id="rId37" Type="http://schemas.openxmlformats.org/officeDocument/2006/relationships/chart" Target="../charts/chart29.xml"/><Relationship Id="rId40" Type="http://schemas.openxmlformats.org/officeDocument/2006/relationships/chart" Target="../charts/chart32.xml"/><Relationship Id="rId5" Type="http://schemas.openxmlformats.org/officeDocument/2006/relationships/chart" Target="../charts/chart17.xml"/><Relationship Id="rId15" Type="http://schemas.openxmlformats.org/officeDocument/2006/relationships/chart" Target="../charts/chart19.xml"/><Relationship Id="rId23" Type="http://schemas.openxmlformats.org/officeDocument/2006/relationships/chart" Target="../charts/chart23.xml"/><Relationship Id="rId28" Type="http://schemas.openxmlformats.org/officeDocument/2006/relationships/image" Target="../media/image14.png"/><Relationship Id="rId36" Type="http://schemas.openxmlformats.org/officeDocument/2006/relationships/chart" Target="../charts/chart28.xml"/><Relationship Id="rId10" Type="http://schemas.openxmlformats.org/officeDocument/2006/relationships/image" Target="../media/image5.svg"/><Relationship Id="rId19" Type="http://schemas.openxmlformats.org/officeDocument/2006/relationships/image" Target="../media/image12.png"/><Relationship Id="rId31" Type="http://schemas.openxmlformats.org/officeDocument/2006/relationships/image" Target="../media/image17.svg"/><Relationship Id="rId4" Type="http://schemas.openxmlformats.org/officeDocument/2006/relationships/chart" Target="../charts/chart16.xml"/><Relationship Id="rId9" Type="http://schemas.openxmlformats.org/officeDocument/2006/relationships/image" Target="../media/image4.png"/><Relationship Id="rId14" Type="http://schemas.openxmlformats.org/officeDocument/2006/relationships/image" Target="../media/image9.svg"/><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image" Target="../media/image16.png"/><Relationship Id="rId35" Type="http://schemas.openxmlformats.org/officeDocument/2006/relationships/image" Target="../media/image21.svg"/><Relationship Id="rId8" Type="http://schemas.openxmlformats.org/officeDocument/2006/relationships/image" Target="../media/image3.svg"/><Relationship Id="rId3" Type="http://schemas.openxmlformats.org/officeDocument/2006/relationships/chart" Target="../charts/chart15.xml"/><Relationship Id="rId12" Type="http://schemas.openxmlformats.org/officeDocument/2006/relationships/image" Target="../media/image7.svg"/><Relationship Id="rId17" Type="http://schemas.openxmlformats.org/officeDocument/2006/relationships/image" Target="../media/image10.png"/><Relationship Id="rId25" Type="http://schemas.openxmlformats.org/officeDocument/2006/relationships/chart" Target="../charts/chart25.xml"/><Relationship Id="rId33" Type="http://schemas.openxmlformats.org/officeDocument/2006/relationships/image" Target="../media/image19.svg"/><Relationship Id="rId38" Type="http://schemas.openxmlformats.org/officeDocument/2006/relationships/chart" Target="../charts/chart30.xml"/></Relationships>
</file>

<file path=xl/drawings/_rels/drawing5.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2.png"/><Relationship Id="rId7" Type="http://schemas.openxmlformats.org/officeDocument/2006/relationships/chart" Target="../charts/chart36.xml"/><Relationship Id="rId12" Type="http://schemas.openxmlformats.org/officeDocument/2006/relationships/chart" Target="../charts/chart37.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image" Target="../media/image25.png"/><Relationship Id="rId11" Type="http://schemas.openxmlformats.org/officeDocument/2006/relationships/image" Target="../media/image29.svg"/><Relationship Id="rId5" Type="http://schemas.openxmlformats.org/officeDocument/2006/relationships/image" Target="../media/image24.png"/><Relationship Id="rId10" Type="http://schemas.openxmlformats.org/officeDocument/2006/relationships/image" Target="../media/image28.png"/><Relationship Id="rId4" Type="http://schemas.openxmlformats.org/officeDocument/2006/relationships/image" Target="../media/image23.png"/><Relationship Id="rId9" Type="http://schemas.openxmlformats.org/officeDocument/2006/relationships/image" Target="../media/image27.svg"/></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45720</xdr:rowOff>
    </xdr:from>
    <xdr:to>
      <xdr:col>4</xdr:col>
      <xdr:colOff>457200</xdr:colOff>
      <xdr:row>29</xdr:row>
      <xdr:rowOff>45720</xdr:rowOff>
    </xdr:to>
    <xdr:graphicFrame macro="">
      <xdr:nvGraphicFramePr>
        <xdr:cNvPr id="2" name="Chart 1">
          <a:extLst>
            <a:ext uri="{FF2B5EF4-FFF2-40B4-BE49-F238E27FC236}">
              <a16:creationId xmlns:a16="http://schemas.microsoft.com/office/drawing/2014/main" id="{4D99408B-58AE-2320-F7C5-227E3F9F82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26670</xdr:colOff>
      <xdr:row>14</xdr:row>
      <xdr:rowOff>64770</xdr:rowOff>
    </xdr:from>
    <xdr:to>
      <xdr:col>11</xdr:col>
      <xdr:colOff>544830</xdr:colOff>
      <xdr:row>29</xdr:row>
      <xdr:rowOff>64770</xdr:rowOff>
    </xdr:to>
    <xdr:graphicFrame macro="">
      <xdr:nvGraphicFramePr>
        <xdr:cNvPr id="3" name="Chart 2">
          <a:extLst>
            <a:ext uri="{FF2B5EF4-FFF2-40B4-BE49-F238E27FC236}">
              <a16:creationId xmlns:a16="http://schemas.microsoft.com/office/drawing/2014/main" id="{31D3C75F-6674-2FF6-7757-6C97D2A50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15</xdr:row>
      <xdr:rowOff>30480</xdr:rowOff>
    </xdr:from>
    <xdr:to>
      <xdr:col>18</xdr:col>
      <xdr:colOff>228600</xdr:colOff>
      <xdr:row>30</xdr:row>
      <xdr:rowOff>30480</xdr:rowOff>
    </xdr:to>
    <xdr:graphicFrame macro="">
      <xdr:nvGraphicFramePr>
        <xdr:cNvPr id="5" name="Chart 4">
          <a:extLst>
            <a:ext uri="{FF2B5EF4-FFF2-40B4-BE49-F238E27FC236}">
              <a16:creationId xmlns:a16="http://schemas.microsoft.com/office/drawing/2014/main" id="{587A8382-6F34-91DD-1E1D-08644B68B2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30480</xdr:colOff>
      <xdr:row>10</xdr:row>
      <xdr:rowOff>26670</xdr:rowOff>
    </xdr:from>
    <xdr:to>
      <xdr:col>28</xdr:col>
      <xdr:colOff>91440</xdr:colOff>
      <xdr:row>25</xdr:row>
      <xdr:rowOff>26670</xdr:rowOff>
    </xdr:to>
    <xdr:graphicFrame macro="">
      <xdr:nvGraphicFramePr>
        <xdr:cNvPr id="6" name="Chart 5">
          <a:extLst>
            <a:ext uri="{FF2B5EF4-FFF2-40B4-BE49-F238E27FC236}">
              <a16:creationId xmlns:a16="http://schemas.microsoft.com/office/drawing/2014/main" id="{DA8FD370-0B65-0527-82AE-AB58CE3AE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295275</xdr:colOff>
      <xdr:row>15</xdr:row>
      <xdr:rowOff>114300</xdr:rowOff>
    </xdr:from>
    <xdr:to>
      <xdr:col>34</xdr:col>
      <xdr:colOff>542925</xdr:colOff>
      <xdr:row>26</xdr:row>
      <xdr:rowOff>152400</xdr:rowOff>
    </xdr:to>
    <xdr:graphicFrame macro="">
      <xdr:nvGraphicFramePr>
        <xdr:cNvPr id="4" name="Chart 3">
          <a:extLst>
            <a:ext uri="{FF2B5EF4-FFF2-40B4-BE49-F238E27FC236}">
              <a16:creationId xmlns:a16="http://schemas.microsoft.com/office/drawing/2014/main" id="{97363487-6A8C-B13A-C5A8-671AF5354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190500</xdr:colOff>
      <xdr:row>1</xdr:row>
      <xdr:rowOff>133350</xdr:rowOff>
    </xdr:from>
    <xdr:to>
      <xdr:col>39</xdr:col>
      <xdr:colOff>419100</xdr:colOff>
      <xdr:row>16</xdr:row>
      <xdr:rowOff>19050</xdr:rowOff>
    </xdr:to>
    <xdr:graphicFrame macro="">
      <xdr:nvGraphicFramePr>
        <xdr:cNvPr id="7" name="Chart 6">
          <a:extLst>
            <a:ext uri="{FF2B5EF4-FFF2-40B4-BE49-F238E27FC236}">
              <a16:creationId xmlns:a16="http://schemas.microsoft.com/office/drawing/2014/main" id="{253EEDAC-1D71-EFA7-3D77-174996E39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41</xdr:col>
      <xdr:colOff>95250</xdr:colOff>
      <xdr:row>15</xdr:row>
      <xdr:rowOff>28575</xdr:rowOff>
    </xdr:from>
    <xdr:to>
      <xdr:col>46</xdr:col>
      <xdr:colOff>104775</xdr:colOff>
      <xdr:row>29</xdr:row>
      <xdr:rowOff>104775</xdr:rowOff>
    </xdr:to>
    <xdr:graphicFrame macro="">
      <xdr:nvGraphicFramePr>
        <xdr:cNvPr id="8" name="Chart 7">
          <a:extLst>
            <a:ext uri="{FF2B5EF4-FFF2-40B4-BE49-F238E27FC236}">
              <a16:creationId xmlns:a16="http://schemas.microsoft.com/office/drawing/2014/main" id="{0AC75732-3F60-C335-EABC-E3EC96CA2D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48</xdr:col>
      <xdr:colOff>161925</xdr:colOff>
      <xdr:row>16</xdr:row>
      <xdr:rowOff>28575</xdr:rowOff>
    </xdr:from>
    <xdr:to>
      <xdr:col>51</xdr:col>
      <xdr:colOff>1143000</xdr:colOff>
      <xdr:row>31</xdr:row>
      <xdr:rowOff>76200</xdr:rowOff>
    </xdr:to>
    <xdr:graphicFrame macro="">
      <xdr:nvGraphicFramePr>
        <xdr:cNvPr id="9" name="Chart 8">
          <a:extLst>
            <a:ext uri="{FF2B5EF4-FFF2-40B4-BE49-F238E27FC236}">
              <a16:creationId xmlns:a16="http://schemas.microsoft.com/office/drawing/2014/main" id="{C5358EF2-CE69-6931-875F-6AB011356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63</xdr:col>
      <xdr:colOff>704850</xdr:colOff>
      <xdr:row>0</xdr:row>
      <xdr:rowOff>38100</xdr:rowOff>
    </xdr:from>
    <xdr:to>
      <xdr:col>68</xdr:col>
      <xdr:colOff>247650</xdr:colOff>
      <xdr:row>14</xdr:row>
      <xdr:rowOff>114300</xdr:rowOff>
    </xdr:to>
    <xdr:graphicFrame macro="">
      <xdr:nvGraphicFramePr>
        <xdr:cNvPr id="10" name="Chart 9">
          <a:extLst>
            <a:ext uri="{FF2B5EF4-FFF2-40B4-BE49-F238E27FC236}">
              <a16:creationId xmlns:a16="http://schemas.microsoft.com/office/drawing/2014/main" id="{9BABAB19-0E62-9BEF-DE98-EAF43B337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76</xdr:col>
      <xdr:colOff>247650</xdr:colOff>
      <xdr:row>27</xdr:row>
      <xdr:rowOff>104775</xdr:rowOff>
    </xdr:from>
    <xdr:to>
      <xdr:col>80</xdr:col>
      <xdr:colOff>600075</xdr:colOff>
      <xdr:row>41</xdr:row>
      <xdr:rowOff>180975</xdr:rowOff>
    </xdr:to>
    <xdr:graphicFrame macro="">
      <xdr:nvGraphicFramePr>
        <xdr:cNvPr id="11" name="Chart 10">
          <a:extLst>
            <a:ext uri="{FF2B5EF4-FFF2-40B4-BE49-F238E27FC236}">
              <a16:creationId xmlns:a16="http://schemas.microsoft.com/office/drawing/2014/main" id="{FAC40976-D2F6-7EEC-2E2B-49C61ED945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92</xdr:col>
      <xdr:colOff>428625</xdr:colOff>
      <xdr:row>18</xdr:row>
      <xdr:rowOff>85725</xdr:rowOff>
    </xdr:from>
    <xdr:to>
      <xdr:col>102</xdr:col>
      <xdr:colOff>190500</xdr:colOff>
      <xdr:row>32</xdr:row>
      <xdr:rowOff>161925</xdr:rowOff>
    </xdr:to>
    <xdr:graphicFrame macro="">
      <xdr:nvGraphicFramePr>
        <xdr:cNvPr id="12" name="Chart 11">
          <a:extLst>
            <a:ext uri="{FF2B5EF4-FFF2-40B4-BE49-F238E27FC236}">
              <a16:creationId xmlns:a16="http://schemas.microsoft.com/office/drawing/2014/main" id="{97F0CF91-6C1C-13AD-8134-85BBD119D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107</xdr:col>
      <xdr:colOff>66675</xdr:colOff>
      <xdr:row>32</xdr:row>
      <xdr:rowOff>19050</xdr:rowOff>
    </xdr:from>
    <xdr:to>
      <xdr:col>112</xdr:col>
      <xdr:colOff>19050</xdr:colOff>
      <xdr:row>46</xdr:row>
      <xdr:rowOff>95250</xdr:rowOff>
    </xdr:to>
    <xdr:graphicFrame macro="">
      <xdr:nvGraphicFramePr>
        <xdr:cNvPr id="13" name="Chart 12">
          <a:extLst>
            <a:ext uri="{FF2B5EF4-FFF2-40B4-BE49-F238E27FC236}">
              <a16:creationId xmlns:a16="http://schemas.microsoft.com/office/drawing/2014/main" id="{CE563188-5CD2-1E26-C902-7CCEE145B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92</xdr:col>
      <xdr:colOff>469446</xdr:colOff>
      <xdr:row>35</xdr:row>
      <xdr:rowOff>29935</xdr:rowOff>
    </xdr:from>
    <xdr:to>
      <xdr:col>102</xdr:col>
      <xdr:colOff>224518</xdr:colOff>
      <xdr:row>49</xdr:row>
      <xdr:rowOff>106135</xdr:rowOff>
    </xdr:to>
    <xdr:graphicFrame macro="">
      <xdr:nvGraphicFramePr>
        <xdr:cNvPr id="14" name="Chart 13">
          <a:extLst>
            <a:ext uri="{FF2B5EF4-FFF2-40B4-BE49-F238E27FC236}">
              <a16:creationId xmlns:a16="http://schemas.microsoft.com/office/drawing/2014/main" id="{3C0566E6-CC39-FD07-392D-B4F6B9FAA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16</xdr:col>
      <xdr:colOff>228600</xdr:colOff>
      <xdr:row>1</xdr:row>
      <xdr:rowOff>180975</xdr:rowOff>
    </xdr:from>
    <xdr:to>
      <xdr:col>18</xdr:col>
      <xdr:colOff>561975</xdr:colOff>
      <xdr:row>15</xdr:row>
      <xdr:rowOff>38100</xdr:rowOff>
    </xdr:to>
    <mc:AlternateContent xmlns:mc="http://schemas.openxmlformats.org/markup-compatibility/2006">
      <mc:Choice xmlns:a14="http://schemas.microsoft.com/office/drawing/2010/main" Requires="a14">
        <xdr:graphicFrame macro="">
          <xdr:nvGraphicFramePr>
            <xdr:cNvPr id="15" name="Product">
              <a:extLst>
                <a:ext uri="{FF2B5EF4-FFF2-40B4-BE49-F238E27FC236}">
                  <a16:creationId xmlns:a16="http://schemas.microsoft.com/office/drawing/2014/main" id="{73FEF004-A16F-8F43-80B4-A3340F56F6B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888191" y="371475"/>
              <a:ext cx="182273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111</xdr:row>
      <xdr:rowOff>0</xdr:rowOff>
    </xdr:from>
    <xdr:to>
      <xdr:col>55</xdr:col>
      <xdr:colOff>9524</xdr:colOff>
      <xdr:row>220</xdr:row>
      <xdr:rowOff>9525</xdr:rowOff>
    </xdr:to>
    <xdr:pic>
      <xdr:nvPicPr>
        <xdr:cNvPr id="180" name="Picture 179">
          <a:extLst>
            <a:ext uri="{FF2B5EF4-FFF2-40B4-BE49-F238E27FC236}">
              <a16:creationId xmlns:a16="http://schemas.microsoft.com/office/drawing/2014/main" id="{43F7E35D-2DCD-BBF4-D389-F021708D3C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53125" y="19823906"/>
          <a:ext cx="26798587" cy="19476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95</xdr:col>
      <xdr:colOff>333375</xdr:colOff>
      <xdr:row>124</xdr:row>
      <xdr:rowOff>95250</xdr:rowOff>
    </xdr:from>
    <xdr:to>
      <xdr:col>135</xdr:col>
      <xdr:colOff>428625</xdr:colOff>
      <xdr:row>252</xdr:row>
      <xdr:rowOff>1</xdr:rowOff>
    </xdr:to>
    <xdr:sp macro="" textlink="">
      <xdr:nvSpPr>
        <xdr:cNvPr id="139" name="Rectangle 138">
          <a:extLst>
            <a:ext uri="{FF2B5EF4-FFF2-40B4-BE49-F238E27FC236}">
              <a16:creationId xmlns:a16="http://schemas.microsoft.com/office/drawing/2014/main" id="{53169DE1-D3AC-236D-A3F8-88922484FEB4}"/>
            </a:ext>
          </a:extLst>
        </xdr:cNvPr>
        <xdr:cNvSpPr/>
      </xdr:nvSpPr>
      <xdr:spPr>
        <a:xfrm>
          <a:off x="39624000" y="23491031"/>
          <a:ext cx="23907750" cy="22764751"/>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innerShdw blurRad="63500" dist="50800" dir="2700000">
            <a:prstClr val="black">
              <a:alpha val="50000"/>
            </a:prstClr>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117</xdr:col>
      <xdr:colOff>95250</xdr:colOff>
      <xdr:row>148</xdr:row>
      <xdr:rowOff>1</xdr:rowOff>
    </xdr:from>
    <xdr:to>
      <xdr:col>134</xdr:col>
      <xdr:colOff>476250</xdr:colOff>
      <xdr:row>183</xdr:row>
      <xdr:rowOff>1</xdr:rowOff>
    </xdr:to>
    <xdr:sp macro="" textlink="">
      <xdr:nvSpPr>
        <xdr:cNvPr id="165" name="Rectangle: Rounded Corners 164">
          <a:extLst>
            <a:ext uri="{FF2B5EF4-FFF2-40B4-BE49-F238E27FC236}">
              <a16:creationId xmlns:a16="http://schemas.microsoft.com/office/drawing/2014/main" id="{5B8D6E93-6F52-3344-90E4-21C78CD76396}"/>
            </a:ext>
          </a:extLst>
        </xdr:cNvPr>
        <xdr:cNvSpPr/>
      </xdr:nvSpPr>
      <xdr:spPr>
        <a:xfrm>
          <a:off x="50387250" y="29527501"/>
          <a:ext cx="10096500" cy="6667500"/>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800" b="1" i="0" u="none" strike="noStrike">
            <a:solidFill>
              <a:schemeClr val="bg1"/>
            </a:solidFill>
            <a:latin typeface="Calibri"/>
            <a:ea typeface="+mn-ea"/>
            <a:cs typeface="Calibri"/>
          </a:endParaRPr>
        </a:p>
      </xdr:txBody>
    </xdr:sp>
    <xdr:clientData/>
  </xdr:twoCellAnchor>
  <xdr:twoCellAnchor>
    <xdr:from>
      <xdr:col>9</xdr:col>
      <xdr:colOff>245423</xdr:colOff>
      <xdr:row>15</xdr:row>
      <xdr:rowOff>55418</xdr:rowOff>
    </xdr:from>
    <xdr:to>
      <xdr:col>43</xdr:col>
      <xdr:colOff>38100</xdr:colOff>
      <xdr:row>98</xdr:row>
      <xdr:rowOff>38100</xdr:rowOff>
    </xdr:to>
    <xdr:grpSp>
      <xdr:nvGrpSpPr>
        <xdr:cNvPr id="107" name="Group 106">
          <a:extLst>
            <a:ext uri="{FF2B5EF4-FFF2-40B4-BE49-F238E27FC236}">
              <a16:creationId xmlns:a16="http://schemas.microsoft.com/office/drawing/2014/main" id="{F7B48BCF-7D79-E3A8-E4A5-D0C844762C57}"/>
            </a:ext>
          </a:extLst>
        </xdr:cNvPr>
        <xdr:cNvGrpSpPr/>
      </xdr:nvGrpSpPr>
      <xdr:grpSpPr>
        <a:xfrm>
          <a:off x="5388923" y="2912918"/>
          <a:ext cx="19223677" cy="15794182"/>
          <a:chOff x="823851" y="326571"/>
          <a:chExt cx="15221444" cy="12396108"/>
        </a:xfrm>
      </xdr:grpSpPr>
      <xdr:grpSp>
        <xdr:nvGrpSpPr>
          <xdr:cNvPr id="104" name="Group 103">
            <a:extLst>
              <a:ext uri="{FF2B5EF4-FFF2-40B4-BE49-F238E27FC236}">
                <a16:creationId xmlns:a16="http://schemas.microsoft.com/office/drawing/2014/main" id="{7FED9EE9-2A98-5E7A-06D2-5CECBDF7DD85}"/>
              </a:ext>
            </a:extLst>
          </xdr:cNvPr>
          <xdr:cNvGrpSpPr/>
        </xdr:nvGrpSpPr>
        <xdr:grpSpPr>
          <a:xfrm>
            <a:off x="823851" y="326571"/>
            <a:ext cx="15221444" cy="12396108"/>
            <a:chOff x="827315" y="326571"/>
            <a:chExt cx="15308035" cy="12396108"/>
          </a:xfrm>
        </xdr:grpSpPr>
        <xdr:sp macro="" textlink="">
          <xdr:nvSpPr>
            <xdr:cNvPr id="14" name="Rectangle 13">
              <a:extLst>
                <a:ext uri="{FF2B5EF4-FFF2-40B4-BE49-F238E27FC236}">
                  <a16:creationId xmlns:a16="http://schemas.microsoft.com/office/drawing/2014/main" id="{1344D2FE-9C93-38E9-EE57-26F82490BAFD}"/>
                </a:ext>
              </a:extLst>
            </xdr:cNvPr>
            <xdr:cNvSpPr/>
          </xdr:nvSpPr>
          <xdr:spPr>
            <a:xfrm>
              <a:off x="827315" y="326571"/>
              <a:ext cx="15308035" cy="12396108"/>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2" name="Group 21">
              <a:extLst>
                <a:ext uri="{FF2B5EF4-FFF2-40B4-BE49-F238E27FC236}">
                  <a16:creationId xmlns:a16="http://schemas.microsoft.com/office/drawing/2014/main" id="{A1B63932-B440-4B94-FF6F-B729B94E1D9A}"/>
                </a:ext>
              </a:extLst>
            </xdr:cNvPr>
            <xdr:cNvGrpSpPr/>
          </xdr:nvGrpSpPr>
          <xdr:grpSpPr>
            <a:xfrm>
              <a:off x="1231960" y="5711536"/>
              <a:ext cx="9595671" cy="2942607"/>
              <a:chOff x="3219221" y="6557073"/>
              <a:chExt cx="15572128" cy="3452113"/>
            </a:xfrm>
            <a:solidFill>
              <a:schemeClr val="bg2">
                <a:lumMod val="50000"/>
              </a:schemeClr>
            </a:solidFill>
          </xdr:grpSpPr>
          <xdr:sp macro="" textlink="">
            <xdr:nvSpPr>
              <xdr:cNvPr id="23" name="Rectangle: Rounded Corners 22">
                <a:extLst>
                  <a:ext uri="{FF2B5EF4-FFF2-40B4-BE49-F238E27FC236}">
                    <a16:creationId xmlns:a16="http://schemas.microsoft.com/office/drawing/2014/main" id="{61E221DE-700A-3C91-836C-F5B5B8AF7715}"/>
                  </a:ext>
                </a:extLst>
              </xdr:cNvPr>
              <xdr:cNvSpPr/>
            </xdr:nvSpPr>
            <xdr:spPr>
              <a:xfrm>
                <a:off x="3219221" y="6561136"/>
                <a:ext cx="7429070" cy="34480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7FBC9B8B-F1CB-9AB7-B39C-74CDED39860C}"/>
                  </a:ext>
                </a:extLst>
              </xdr:cNvPr>
              <xdr:cNvSpPr txBox="1"/>
            </xdr:nvSpPr>
            <xdr:spPr>
              <a:xfrm>
                <a:off x="4244214" y="6683037"/>
                <a:ext cx="3049215" cy="50153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xdr:txBody>
          </xdr:sp>
          <xdr:sp macro="" textlink="">
            <xdr:nvSpPr>
              <xdr:cNvPr id="106" name="Rectangle: Rounded Corners 105">
                <a:extLst>
                  <a:ext uri="{FF2B5EF4-FFF2-40B4-BE49-F238E27FC236}">
                    <a16:creationId xmlns:a16="http://schemas.microsoft.com/office/drawing/2014/main" id="{9D9E19C9-5F54-3D0C-69C8-D6497A92C461}"/>
                  </a:ext>
                </a:extLst>
              </xdr:cNvPr>
              <xdr:cNvSpPr/>
            </xdr:nvSpPr>
            <xdr:spPr>
              <a:xfrm>
                <a:off x="11371270" y="6557073"/>
                <a:ext cx="7420079" cy="34480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17" name="Group 16">
              <a:extLst>
                <a:ext uri="{FF2B5EF4-FFF2-40B4-BE49-F238E27FC236}">
                  <a16:creationId xmlns:a16="http://schemas.microsoft.com/office/drawing/2014/main" id="{0167BBAC-08CC-D87B-73FA-E5EBC8983525}"/>
                </a:ext>
              </a:extLst>
            </xdr:cNvPr>
            <xdr:cNvGrpSpPr/>
          </xdr:nvGrpSpPr>
          <xdr:grpSpPr>
            <a:xfrm>
              <a:off x="1152526" y="8960304"/>
              <a:ext cx="9782174" cy="3448050"/>
              <a:chOff x="1304926" y="6619876"/>
              <a:chExt cx="7893503" cy="3448050"/>
            </a:xfrm>
            <a:solidFill>
              <a:schemeClr val="bg2">
                <a:lumMod val="50000"/>
              </a:schemeClr>
            </a:solidFill>
          </xdr:grpSpPr>
          <xdr:sp macro="" textlink="">
            <xdr:nvSpPr>
              <xdr:cNvPr id="12" name="Rectangle: Rounded Corners 11">
                <a:extLst>
                  <a:ext uri="{FF2B5EF4-FFF2-40B4-BE49-F238E27FC236}">
                    <a16:creationId xmlns:a16="http://schemas.microsoft.com/office/drawing/2014/main" id="{875BBCFC-9B61-69F2-FFB9-A82DABC9C94D}"/>
                  </a:ext>
                </a:extLst>
              </xdr:cNvPr>
              <xdr:cNvSpPr/>
            </xdr:nvSpPr>
            <xdr:spPr>
              <a:xfrm>
                <a:off x="1304926" y="6619876"/>
                <a:ext cx="7893503" cy="34480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 name="Chart 5">
                <a:extLst>
                  <a:ext uri="{FF2B5EF4-FFF2-40B4-BE49-F238E27FC236}">
                    <a16:creationId xmlns:a16="http://schemas.microsoft.com/office/drawing/2014/main" id="{D8343009-EAEB-4A0B-8486-17BC6B104E25}"/>
                  </a:ext>
                </a:extLst>
              </xdr:cNvPr>
              <xdr:cNvGraphicFramePr>
                <a:graphicFrameLocks/>
              </xdr:cNvGraphicFramePr>
            </xdr:nvGraphicFramePr>
            <xdr:xfrm>
              <a:off x="1758044" y="7151914"/>
              <a:ext cx="7262132" cy="2828925"/>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3" name="TextBox 12">
                <a:extLst>
                  <a:ext uri="{FF2B5EF4-FFF2-40B4-BE49-F238E27FC236}">
                    <a16:creationId xmlns:a16="http://schemas.microsoft.com/office/drawing/2014/main" id="{6CDD6A7F-0C55-0B44-8576-1063D614C477}"/>
                  </a:ext>
                </a:extLst>
              </xdr:cNvPr>
              <xdr:cNvSpPr txBox="1"/>
            </xdr:nvSpPr>
            <xdr:spPr>
              <a:xfrm>
                <a:off x="2177143" y="6762750"/>
                <a:ext cx="5116286" cy="4218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Total sales per </a:t>
                </a:r>
                <a:r>
                  <a:rPr lang="en-US" sz="1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month</a:t>
                </a: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xdr:txBody>
          </xdr:sp>
        </xdr:grpSp>
        <xdr:grpSp>
          <xdr:nvGrpSpPr>
            <xdr:cNvPr id="18" name="Group 17">
              <a:extLst>
                <a:ext uri="{FF2B5EF4-FFF2-40B4-BE49-F238E27FC236}">
                  <a16:creationId xmlns:a16="http://schemas.microsoft.com/office/drawing/2014/main" id="{FE96F012-1B07-692C-F4F7-62151DF58798}"/>
                </a:ext>
              </a:extLst>
            </xdr:cNvPr>
            <xdr:cNvGrpSpPr/>
          </xdr:nvGrpSpPr>
          <xdr:grpSpPr>
            <a:xfrm>
              <a:off x="11260333" y="4163787"/>
              <a:ext cx="4523953" cy="8273142"/>
              <a:chOff x="6197008" y="6478900"/>
              <a:chExt cx="7893503" cy="3448050"/>
            </a:xfrm>
            <a:solidFill>
              <a:schemeClr val="bg2">
                <a:lumMod val="50000"/>
              </a:schemeClr>
            </a:solidFill>
          </xdr:grpSpPr>
          <xdr:sp macro="" textlink="">
            <xdr:nvSpPr>
              <xdr:cNvPr id="19" name="Rectangle: Rounded Corners 18">
                <a:extLst>
                  <a:ext uri="{FF2B5EF4-FFF2-40B4-BE49-F238E27FC236}">
                    <a16:creationId xmlns:a16="http://schemas.microsoft.com/office/drawing/2014/main" id="{1022721D-4C7E-1BD0-8E20-5034190E43C7}"/>
                  </a:ext>
                </a:extLst>
              </xdr:cNvPr>
              <xdr:cNvSpPr/>
            </xdr:nvSpPr>
            <xdr:spPr>
              <a:xfrm>
                <a:off x="6197008" y="6478900"/>
                <a:ext cx="7893503" cy="34480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C6E03BC6-4021-0172-8551-BFEBE9FA014A}"/>
                  </a:ext>
                </a:extLst>
              </xdr:cNvPr>
              <xdr:cNvSpPr txBox="1"/>
            </xdr:nvSpPr>
            <xdr:spPr>
              <a:xfrm>
                <a:off x="7706304" y="6762750"/>
                <a:ext cx="5116286" cy="42182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xdr:txBody>
          </xdr:sp>
        </xdr:grpSp>
        <xdr:graphicFrame macro="">
          <xdr:nvGraphicFramePr>
            <xdr:cNvPr id="15" name="Chart 14">
              <a:extLst>
                <a:ext uri="{FF2B5EF4-FFF2-40B4-BE49-F238E27FC236}">
                  <a16:creationId xmlns:a16="http://schemas.microsoft.com/office/drawing/2014/main" id="{AF85443B-0B5A-4605-87B8-D642F8A3FFE1}"/>
                </a:ext>
              </a:extLst>
            </xdr:cNvPr>
            <xdr:cNvGraphicFramePr>
              <a:graphicFrameLocks/>
            </xdr:cNvGraphicFramePr>
          </xdr:nvGraphicFramePr>
          <xdr:xfrm>
            <a:off x="11367405" y="4572000"/>
            <a:ext cx="4550229" cy="772341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FC3CF673-C757-4A89-B2C5-7B4D13F4D4D8}"/>
                </a:ext>
              </a:extLst>
            </xdr:cNvPr>
            <xdr:cNvGraphicFramePr>
              <a:graphicFrameLocks/>
            </xdr:cNvGraphicFramePr>
          </xdr:nvGraphicFramePr>
          <xdr:xfrm>
            <a:off x="5270514" y="5715000"/>
            <a:ext cx="5399298" cy="2887436"/>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31" name="Group 30">
              <a:extLst>
                <a:ext uri="{FF2B5EF4-FFF2-40B4-BE49-F238E27FC236}">
                  <a16:creationId xmlns:a16="http://schemas.microsoft.com/office/drawing/2014/main" id="{EB23D0D3-2E28-0C0C-6899-D56B0F0C35CF}"/>
                </a:ext>
              </a:extLst>
            </xdr:cNvPr>
            <xdr:cNvGrpSpPr/>
          </xdr:nvGrpSpPr>
          <xdr:grpSpPr>
            <a:xfrm>
              <a:off x="11144666" y="680357"/>
              <a:ext cx="4525322" cy="3148694"/>
              <a:chOff x="3219219" y="6561136"/>
              <a:chExt cx="7893503" cy="3448050"/>
            </a:xfrm>
            <a:solidFill>
              <a:schemeClr val="bg2">
                <a:lumMod val="50000"/>
              </a:schemeClr>
            </a:solidFill>
          </xdr:grpSpPr>
          <xdr:sp macro="" textlink="">
            <xdr:nvSpPr>
              <xdr:cNvPr id="32" name="Rectangle: Rounded Corners 31">
                <a:extLst>
                  <a:ext uri="{FF2B5EF4-FFF2-40B4-BE49-F238E27FC236}">
                    <a16:creationId xmlns:a16="http://schemas.microsoft.com/office/drawing/2014/main" id="{4FACBD5F-68AD-5D5B-D33F-53B43D6DD90A}"/>
                  </a:ext>
                </a:extLst>
              </xdr:cNvPr>
              <xdr:cNvSpPr/>
            </xdr:nvSpPr>
            <xdr:spPr>
              <a:xfrm>
                <a:off x="3219219" y="6561136"/>
                <a:ext cx="7893503" cy="34480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TextBox 32">
                <a:extLst>
                  <a:ext uri="{FF2B5EF4-FFF2-40B4-BE49-F238E27FC236}">
                    <a16:creationId xmlns:a16="http://schemas.microsoft.com/office/drawing/2014/main" id="{0544C6AE-4582-57ED-D745-05EF5CADD137}"/>
                  </a:ext>
                </a:extLst>
              </xdr:cNvPr>
              <xdr:cNvSpPr txBox="1"/>
            </xdr:nvSpPr>
            <xdr:spPr>
              <a:xfrm>
                <a:off x="4345244" y="6764329"/>
                <a:ext cx="2948185" cy="42024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xdr:txBody>
          </xdr:sp>
        </xdr:grpSp>
        <xdr:grpSp>
          <xdr:nvGrpSpPr>
            <xdr:cNvPr id="34" name="Group 33">
              <a:extLst>
                <a:ext uri="{FF2B5EF4-FFF2-40B4-BE49-F238E27FC236}">
                  <a16:creationId xmlns:a16="http://schemas.microsoft.com/office/drawing/2014/main" id="{B907D972-D334-1BD7-0568-623BEE48F441}"/>
                </a:ext>
              </a:extLst>
            </xdr:cNvPr>
            <xdr:cNvGrpSpPr/>
          </xdr:nvGrpSpPr>
          <xdr:grpSpPr>
            <a:xfrm>
              <a:off x="1500548" y="819150"/>
              <a:ext cx="3784469" cy="1711779"/>
              <a:chOff x="3219219" y="6561136"/>
              <a:chExt cx="7893503" cy="3448050"/>
            </a:xfrm>
            <a:solidFill>
              <a:schemeClr val="bg2">
                <a:lumMod val="50000"/>
              </a:schemeClr>
            </a:solidFill>
          </xdr:grpSpPr>
          <xdr:sp macro="" textlink="'Pivot Tables'!$U$3">
            <xdr:nvSpPr>
              <xdr:cNvPr id="35" name="Rectangle: Rounded Corners 34">
                <a:extLst>
                  <a:ext uri="{FF2B5EF4-FFF2-40B4-BE49-F238E27FC236}">
                    <a16:creationId xmlns:a16="http://schemas.microsoft.com/office/drawing/2014/main" id="{AA192278-F883-E784-FD17-4B622B297709}"/>
                  </a:ext>
                </a:extLst>
              </xdr:cNvPr>
              <xdr:cNvSpPr/>
            </xdr:nvSpPr>
            <xdr:spPr>
              <a:xfrm>
                <a:off x="3219219" y="6561136"/>
                <a:ext cx="7893503" cy="34480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i="0" u="none" strike="noStrike">
                  <a:solidFill>
                    <a:schemeClr val="bg1"/>
                  </a:solidFill>
                  <a:latin typeface="Calibri"/>
                  <a:cs typeface="Calibri"/>
                </a:endParaRPr>
              </a:p>
              <a:p>
                <a:pPr algn="ctr"/>
                <a:r>
                  <a:rPr lang="en-US" sz="2000" b="1" i="0" u="none" strike="noStrike">
                    <a:solidFill>
                      <a:schemeClr val="bg1"/>
                    </a:solidFill>
                    <a:latin typeface="Calibri"/>
                    <a:cs typeface="Calibri"/>
                  </a:rPr>
                  <a:t>    </a:t>
                </a:r>
                <a:r>
                  <a:rPr lang="en-US" sz="2000" b="1" i="0" u="none" strike="noStrike" baseline="0">
                    <a:solidFill>
                      <a:schemeClr val="bg1"/>
                    </a:solidFill>
                    <a:latin typeface="Calibri"/>
                    <a:cs typeface="Calibri"/>
                  </a:rPr>
                  <a:t>           </a:t>
                </a:r>
                <a:fld id="{0AA4DE66-5A1A-4476-8E99-424D50CF5F64}" type="TxLink">
                  <a:rPr lang="en-US" sz="2000" b="1" i="0" u="none" strike="noStrike">
                    <a:solidFill>
                      <a:schemeClr val="bg1"/>
                    </a:solidFill>
                    <a:latin typeface="Calibri"/>
                    <a:cs typeface="Calibri"/>
                  </a:rPr>
                  <a:pPr algn="ctr"/>
                  <a:t>10</a:t>
                </a:fld>
                <a:endParaRPr lang="en-US" sz="2000" b="1">
                  <a:solidFill>
                    <a:schemeClr val="bg1"/>
                  </a:solidFill>
                </a:endParaRPr>
              </a:p>
            </xdr:txBody>
          </xdr:sp>
          <xdr:sp macro="" textlink="">
            <xdr:nvSpPr>
              <xdr:cNvPr id="36" name="TextBox 35">
                <a:extLst>
                  <a:ext uri="{FF2B5EF4-FFF2-40B4-BE49-F238E27FC236}">
                    <a16:creationId xmlns:a16="http://schemas.microsoft.com/office/drawing/2014/main" id="{A9620E58-09D3-B9FE-7551-5B4017FDA07B}"/>
                  </a:ext>
                </a:extLst>
              </xdr:cNvPr>
              <xdr:cNvSpPr txBox="1"/>
            </xdr:nvSpPr>
            <xdr:spPr>
              <a:xfrm>
                <a:off x="4844738" y="6934397"/>
                <a:ext cx="2448691" cy="25017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xdr:txBody>
          </xdr:sp>
        </xdr:grpSp>
        <xdr:grpSp>
          <xdr:nvGrpSpPr>
            <xdr:cNvPr id="37" name="Group 36">
              <a:extLst>
                <a:ext uri="{FF2B5EF4-FFF2-40B4-BE49-F238E27FC236}">
                  <a16:creationId xmlns:a16="http://schemas.microsoft.com/office/drawing/2014/main" id="{131B7316-7679-201F-F352-B0A2B26B2D8F}"/>
                </a:ext>
              </a:extLst>
            </xdr:cNvPr>
            <xdr:cNvGrpSpPr/>
          </xdr:nvGrpSpPr>
          <xdr:grpSpPr>
            <a:xfrm>
              <a:off x="1863436" y="831273"/>
              <a:ext cx="8219458" cy="4083627"/>
              <a:chOff x="3596780" y="6817073"/>
              <a:chExt cx="17149498" cy="7796821"/>
            </a:xfrm>
            <a:solidFill>
              <a:schemeClr val="bg2">
                <a:lumMod val="50000"/>
              </a:schemeClr>
            </a:solidFill>
          </xdr:grpSpPr>
          <xdr:sp macro="" textlink="'Pivot Tables'!V10">
            <xdr:nvSpPr>
              <xdr:cNvPr id="38" name="Rectangle: Rounded Corners 37">
                <a:extLst>
                  <a:ext uri="{FF2B5EF4-FFF2-40B4-BE49-F238E27FC236}">
                    <a16:creationId xmlns:a16="http://schemas.microsoft.com/office/drawing/2014/main" id="{A1101A7E-348E-1AB4-7871-097DA36732F0}"/>
                  </a:ext>
                </a:extLst>
              </xdr:cNvPr>
              <xdr:cNvSpPr/>
            </xdr:nvSpPr>
            <xdr:spPr>
              <a:xfrm>
                <a:off x="12852774" y="11165844"/>
                <a:ext cx="7893504" cy="34480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1" i="0" u="none" strike="noStrike">
                  <a:solidFill>
                    <a:schemeClr val="bg1"/>
                  </a:solidFill>
                  <a:latin typeface="Calibri"/>
                  <a:cs typeface="Calibri"/>
                </a:endParaRPr>
              </a:p>
              <a:p>
                <a:pPr algn="l"/>
                <a:r>
                  <a:rPr lang="en-US" sz="1800" b="1" i="0" u="none" strike="noStrike">
                    <a:solidFill>
                      <a:schemeClr val="bg1"/>
                    </a:solidFill>
                    <a:latin typeface="Calibri"/>
                    <a:cs typeface="Calibri"/>
                  </a:rPr>
                  <a:t>                           </a:t>
                </a:r>
                <a:fld id="{9A21DA98-E4A4-46F0-8F34-ADE6E189AAE6}" type="TxLink">
                  <a:rPr lang="en-US" sz="1800" b="1" i="0" u="none" strike="noStrike">
                    <a:solidFill>
                      <a:schemeClr val="bg1"/>
                    </a:solidFill>
                    <a:latin typeface="Calibri"/>
                    <a:cs typeface="Calibri"/>
                  </a:rPr>
                  <a:pPr algn="l"/>
                  <a:t>203,538,699</a:t>
                </a:fld>
                <a:endParaRPr lang="en-US" sz="1800" b="1">
                  <a:solidFill>
                    <a:schemeClr val="bg1"/>
                  </a:solidFill>
                </a:endParaRPr>
              </a:p>
            </xdr:txBody>
          </xdr:sp>
          <xdr:sp macro="" textlink="">
            <xdr:nvSpPr>
              <xdr:cNvPr id="39" name="TextBox 38">
                <a:extLst>
                  <a:ext uri="{FF2B5EF4-FFF2-40B4-BE49-F238E27FC236}">
                    <a16:creationId xmlns:a16="http://schemas.microsoft.com/office/drawing/2014/main" id="{83F7A781-EB00-6C88-B0F0-D070BE6A362D}"/>
                  </a:ext>
                </a:extLst>
              </xdr:cNvPr>
              <xdr:cNvSpPr txBox="1"/>
            </xdr:nvSpPr>
            <xdr:spPr>
              <a:xfrm>
                <a:off x="3596780" y="6817073"/>
                <a:ext cx="3696649" cy="36749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xdr:txBody>
          </xdr:sp>
        </xdr:grpSp>
        <xdr:grpSp>
          <xdr:nvGrpSpPr>
            <xdr:cNvPr id="40" name="Group 39">
              <a:extLst>
                <a:ext uri="{FF2B5EF4-FFF2-40B4-BE49-F238E27FC236}">
                  <a16:creationId xmlns:a16="http://schemas.microsoft.com/office/drawing/2014/main" id="{D6B61515-7A4B-6DD4-FC4C-DD4B523CF799}"/>
                </a:ext>
              </a:extLst>
            </xdr:cNvPr>
            <xdr:cNvGrpSpPr/>
          </xdr:nvGrpSpPr>
          <xdr:grpSpPr>
            <a:xfrm>
              <a:off x="1465412" y="3192235"/>
              <a:ext cx="3784226" cy="1711779"/>
              <a:chOff x="3162717" y="6561136"/>
              <a:chExt cx="7893504" cy="3448050"/>
            </a:xfrm>
            <a:solidFill>
              <a:schemeClr val="bg2">
                <a:lumMod val="50000"/>
              </a:schemeClr>
            </a:solidFill>
          </xdr:grpSpPr>
          <xdr:sp macro="" textlink="'Pivot Tables'!V8">
            <xdr:nvSpPr>
              <xdr:cNvPr id="41" name="Rectangle: Rounded Corners 40">
                <a:extLst>
                  <a:ext uri="{FF2B5EF4-FFF2-40B4-BE49-F238E27FC236}">
                    <a16:creationId xmlns:a16="http://schemas.microsoft.com/office/drawing/2014/main" id="{266E4FAF-81A8-2679-36B2-F14CF2802A80}"/>
                  </a:ext>
                </a:extLst>
              </xdr:cNvPr>
              <xdr:cNvSpPr/>
            </xdr:nvSpPr>
            <xdr:spPr>
              <a:xfrm>
                <a:off x="3162717" y="6561136"/>
                <a:ext cx="7893504" cy="34480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1" i="0" u="none" strike="noStrike">
                  <a:solidFill>
                    <a:schemeClr val="bg1"/>
                  </a:solidFill>
                  <a:latin typeface="Calibri"/>
                  <a:cs typeface="Calibri"/>
                </a:endParaRPr>
              </a:p>
              <a:p>
                <a:pPr algn="l"/>
                <a:r>
                  <a:rPr lang="en-US" sz="1800" b="1" i="0" u="none" strike="noStrike">
                    <a:solidFill>
                      <a:schemeClr val="bg1"/>
                    </a:solidFill>
                    <a:latin typeface="Calibri"/>
                    <a:cs typeface="Calibri"/>
                  </a:rPr>
                  <a:t>                                    </a:t>
                </a:r>
                <a:fld id="{B70594A8-6BBC-4B58-B3FF-CE574FBABA60}" type="TxLink">
                  <a:rPr lang="en-US" sz="1800" b="1" i="0" u="none" strike="noStrike">
                    <a:solidFill>
                      <a:schemeClr val="bg1"/>
                    </a:solidFill>
                    <a:latin typeface="Calibri"/>
                    <a:cs typeface="Calibri"/>
                  </a:rPr>
                  <a:pPr algn="l"/>
                  <a:t>6</a:t>
                </a:fld>
                <a:endParaRPr lang="en-US" sz="1800" b="1">
                  <a:solidFill>
                    <a:schemeClr val="bg1"/>
                  </a:solidFill>
                </a:endParaRPr>
              </a:p>
            </xdr:txBody>
          </xdr:sp>
          <xdr:sp macro="" textlink="">
            <xdr:nvSpPr>
              <xdr:cNvPr id="42" name="TextBox 41">
                <a:extLst>
                  <a:ext uri="{FF2B5EF4-FFF2-40B4-BE49-F238E27FC236}">
                    <a16:creationId xmlns:a16="http://schemas.microsoft.com/office/drawing/2014/main" id="{43A5AC63-6482-0EE3-8DE6-4C1AB4A2FAC6}"/>
                  </a:ext>
                </a:extLst>
              </xdr:cNvPr>
              <xdr:cNvSpPr txBox="1"/>
            </xdr:nvSpPr>
            <xdr:spPr>
              <a:xfrm>
                <a:off x="5479532" y="7092476"/>
                <a:ext cx="1813897" cy="9209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xdr:txBody>
          </xdr:sp>
        </xdr:grpSp>
        <xdr:grpSp>
          <xdr:nvGrpSpPr>
            <xdr:cNvPr id="43" name="Group 42">
              <a:extLst>
                <a:ext uri="{FF2B5EF4-FFF2-40B4-BE49-F238E27FC236}">
                  <a16:creationId xmlns:a16="http://schemas.microsoft.com/office/drawing/2014/main" id="{3C2D7D84-B94E-BFFC-4D0B-81AF87ACF020}"/>
                </a:ext>
              </a:extLst>
            </xdr:cNvPr>
            <xdr:cNvGrpSpPr/>
          </xdr:nvGrpSpPr>
          <xdr:grpSpPr>
            <a:xfrm>
              <a:off x="6249440" y="827314"/>
              <a:ext cx="3784469" cy="1711779"/>
              <a:chOff x="3219219" y="6561136"/>
              <a:chExt cx="7893503" cy="3448050"/>
            </a:xfrm>
            <a:solidFill>
              <a:schemeClr val="bg2">
                <a:lumMod val="50000"/>
              </a:schemeClr>
            </a:solidFill>
          </xdr:grpSpPr>
          <xdr:sp macro="" textlink="'Pivot Tables'!V6">
            <xdr:nvSpPr>
              <xdr:cNvPr id="44" name="Rectangle: Rounded Corners 43">
                <a:extLst>
                  <a:ext uri="{FF2B5EF4-FFF2-40B4-BE49-F238E27FC236}">
                    <a16:creationId xmlns:a16="http://schemas.microsoft.com/office/drawing/2014/main" id="{46135D77-BC98-0B18-A02F-7CBFC1F99EF6}"/>
                  </a:ext>
                </a:extLst>
              </xdr:cNvPr>
              <xdr:cNvSpPr/>
            </xdr:nvSpPr>
            <xdr:spPr>
              <a:xfrm>
                <a:off x="3219219" y="6561136"/>
                <a:ext cx="7893503" cy="34480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i="0" u="none" strike="noStrike">
                  <a:solidFill>
                    <a:schemeClr val="bg1"/>
                  </a:solidFill>
                  <a:latin typeface="Calibri"/>
                  <a:cs typeface="Calibri"/>
                </a:endParaRPr>
              </a:p>
              <a:p>
                <a:pPr algn="ctr"/>
                <a:r>
                  <a:rPr lang="en-US" sz="1800" b="1" i="0" u="none" strike="noStrike">
                    <a:solidFill>
                      <a:schemeClr val="bg1"/>
                    </a:solidFill>
                    <a:latin typeface="Calibri"/>
                    <a:cs typeface="Calibri"/>
                  </a:rPr>
                  <a:t>       </a:t>
                </a:r>
                <a:fld id="{10AA8D85-9083-49BD-98BF-B7321169E9D2}" type="TxLink">
                  <a:rPr lang="en-US" sz="1800" b="1" i="0" u="none" strike="noStrike">
                    <a:solidFill>
                      <a:schemeClr val="bg1"/>
                    </a:solidFill>
                    <a:latin typeface="Calibri"/>
                    <a:cs typeface="Calibri"/>
                  </a:rPr>
                  <a:pPr algn="ctr"/>
                  <a:t>22</a:t>
                </a:fld>
                <a:endParaRPr lang="en-US" sz="1800" b="1">
                  <a:solidFill>
                    <a:schemeClr val="bg1"/>
                  </a:solidFill>
                </a:endParaRPr>
              </a:p>
            </xdr:txBody>
          </xdr:sp>
          <xdr:sp macro="" textlink="">
            <xdr:nvSpPr>
              <xdr:cNvPr id="45" name="TextBox 44">
                <a:extLst>
                  <a:ext uri="{FF2B5EF4-FFF2-40B4-BE49-F238E27FC236}">
                    <a16:creationId xmlns:a16="http://schemas.microsoft.com/office/drawing/2014/main" id="{85F5D99E-4C4A-EC23-5E58-AC60B5DA27C7}"/>
                  </a:ext>
                </a:extLst>
              </xdr:cNvPr>
              <xdr:cNvSpPr txBox="1"/>
            </xdr:nvSpPr>
            <xdr:spPr>
              <a:xfrm>
                <a:off x="5294602" y="7092476"/>
                <a:ext cx="1998827" cy="9209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endParaRPr lang="en-US" sz="2000" b="1" i="0" u="none" strike="noStrike">
                  <a:solidFill>
                    <a:schemeClr val="bg1">
                      <a:lumMod val="75000"/>
                    </a:schemeClr>
                  </a:solidFill>
                  <a:latin typeface="Calibri"/>
                  <a:ea typeface="+mn-ea"/>
                  <a:cs typeface="Calibri"/>
                </a:endParaRPr>
              </a:p>
            </xdr:txBody>
          </xdr:sp>
        </xdr:grpSp>
      </xdr:grpSp>
      <xdr:graphicFrame macro="">
        <xdr:nvGraphicFramePr>
          <xdr:cNvPr id="3" name="Chart 2">
            <a:extLst>
              <a:ext uri="{FF2B5EF4-FFF2-40B4-BE49-F238E27FC236}">
                <a16:creationId xmlns:a16="http://schemas.microsoft.com/office/drawing/2014/main" id="{47A551F6-347A-4A2C-820A-5DD396EC30B2}"/>
              </a:ext>
            </a:extLst>
          </xdr:cNvPr>
          <xdr:cNvGraphicFramePr>
            <a:graphicFrameLocks/>
          </xdr:cNvGraphicFramePr>
        </xdr:nvGraphicFramePr>
        <xdr:xfrm>
          <a:off x="1166323" y="5793922"/>
          <a:ext cx="4469720" cy="287655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a:extLst>
              <a:ext uri="{FF2B5EF4-FFF2-40B4-BE49-F238E27FC236}">
                <a16:creationId xmlns:a16="http://schemas.microsoft.com/office/drawing/2014/main" id="{EC8B05F6-C464-4D3A-B6FE-8C7CD82FBB3E}"/>
              </a:ext>
            </a:extLst>
          </xdr:cNvPr>
          <xdr:cNvGraphicFramePr>
            <a:graphicFrameLocks/>
          </xdr:cNvGraphicFramePr>
        </xdr:nvGraphicFramePr>
        <xdr:xfrm>
          <a:off x="11317852" y="845004"/>
          <a:ext cx="3854476" cy="28575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11</xdr:col>
      <xdr:colOff>125751</xdr:colOff>
      <xdr:row>19</xdr:row>
      <xdr:rowOff>16850</xdr:rowOff>
    </xdr:from>
    <xdr:to>
      <xdr:col>28</xdr:col>
      <xdr:colOff>419176</xdr:colOff>
      <xdr:row>44</xdr:row>
      <xdr:rowOff>74091</xdr:rowOff>
    </xdr:to>
    <xdr:grpSp>
      <xdr:nvGrpSpPr>
        <xdr:cNvPr id="108" name="Group 107">
          <a:extLst>
            <a:ext uri="{FF2B5EF4-FFF2-40B4-BE49-F238E27FC236}">
              <a16:creationId xmlns:a16="http://schemas.microsoft.com/office/drawing/2014/main" id="{B3EF93AD-9D6A-C0D7-4AB0-FE0BDA4C77E7}"/>
            </a:ext>
          </a:extLst>
        </xdr:cNvPr>
        <xdr:cNvGrpSpPr/>
      </xdr:nvGrpSpPr>
      <xdr:grpSpPr>
        <a:xfrm>
          <a:off x="6412251" y="3636350"/>
          <a:ext cx="10008925" cy="4819741"/>
          <a:chOff x="1742950" y="966106"/>
          <a:chExt cx="7906988" cy="3782787"/>
        </a:xfrm>
      </xdr:grpSpPr>
      <xdr:sp macro="" textlink="">
        <xdr:nvSpPr>
          <xdr:cNvPr id="46" name="TextBox 45">
            <a:extLst>
              <a:ext uri="{FF2B5EF4-FFF2-40B4-BE49-F238E27FC236}">
                <a16:creationId xmlns:a16="http://schemas.microsoft.com/office/drawing/2014/main" id="{742AD4BF-4FE3-16DD-265D-5C0B85ADDD41}"/>
              </a:ext>
            </a:extLst>
          </xdr:cNvPr>
          <xdr:cNvSpPr txBox="1"/>
        </xdr:nvSpPr>
        <xdr:spPr>
          <a:xfrm>
            <a:off x="2887187" y="1877786"/>
            <a:ext cx="3003469" cy="394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No. Sales Person</a:t>
            </a:r>
          </a:p>
        </xdr:txBody>
      </xdr:sp>
      <xdr:pic>
        <xdr:nvPicPr>
          <xdr:cNvPr id="48" name="Graphic 47" descr="Children outline">
            <a:extLst>
              <a:ext uri="{FF2B5EF4-FFF2-40B4-BE49-F238E27FC236}">
                <a16:creationId xmlns:a16="http://schemas.microsoft.com/office/drawing/2014/main" id="{108A1326-3502-78A9-0164-1370D4CC92E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42950" y="966106"/>
            <a:ext cx="1198666" cy="1129393"/>
          </a:xfrm>
          <a:prstGeom prst="rect">
            <a:avLst/>
          </a:prstGeom>
        </xdr:spPr>
      </xdr:pic>
      <xdr:sp macro="" textlink="">
        <xdr:nvSpPr>
          <xdr:cNvPr id="49" name="TextBox 48">
            <a:extLst>
              <a:ext uri="{FF2B5EF4-FFF2-40B4-BE49-F238E27FC236}">
                <a16:creationId xmlns:a16="http://schemas.microsoft.com/office/drawing/2014/main" id="{4F86FDC4-FDD2-D896-2626-0D70135BB06B}"/>
              </a:ext>
            </a:extLst>
          </xdr:cNvPr>
          <xdr:cNvSpPr txBox="1"/>
        </xdr:nvSpPr>
        <xdr:spPr>
          <a:xfrm>
            <a:off x="7491350" y="1945821"/>
            <a:ext cx="2008909" cy="35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No.Product</a:t>
            </a:r>
          </a:p>
        </xdr:txBody>
      </xdr:sp>
      <xdr:sp macro="" textlink="">
        <xdr:nvSpPr>
          <xdr:cNvPr id="50" name="TextBox 49">
            <a:extLst>
              <a:ext uri="{FF2B5EF4-FFF2-40B4-BE49-F238E27FC236}">
                <a16:creationId xmlns:a16="http://schemas.microsoft.com/office/drawing/2014/main" id="{618443FE-1818-D1EE-EF1F-632A5255FE0F}"/>
              </a:ext>
            </a:extLst>
          </xdr:cNvPr>
          <xdr:cNvSpPr txBox="1"/>
        </xdr:nvSpPr>
        <xdr:spPr>
          <a:xfrm>
            <a:off x="2887187" y="4286250"/>
            <a:ext cx="2166011" cy="394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No.rigion</a:t>
            </a:r>
          </a:p>
        </xdr:txBody>
      </xdr:sp>
      <xdr:sp macro="" textlink="">
        <xdr:nvSpPr>
          <xdr:cNvPr id="51" name="TextBox 50">
            <a:extLst>
              <a:ext uri="{FF2B5EF4-FFF2-40B4-BE49-F238E27FC236}">
                <a16:creationId xmlns:a16="http://schemas.microsoft.com/office/drawing/2014/main" id="{0320CE35-EEC9-DF4C-6DF5-6136156E734C}"/>
              </a:ext>
            </a:extLst>
          </xdr:cNvPr>
          <xdr:cNvSpPr txBox="1"/>
        </xdr:nvSpPr>
        <xdr:spPr>
          <a:xfrm>
            <a:off x="7545779" y="4354286"/>
            <a:ext cx="2104159" cy="394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Total sales</a:t>
            </a:r>
          </a:p>
        </xdr:txBody>
      </xdr:sp>
      <xdr:pic>
        <xdr:nvPicPr>
          <xdr:cNvPr id="53" name="Graphic 52" descr="Clipboard All Crosses with solid fill">
            <a:extLst>
              <a:ext uri="{FF2B5EF4-FFF2-40B4-BE49-F238E27FC236}">
                <a16:creationId xmlns:a16="http://schemas.microsoft.com/office/drawing/2014/main" id="{53161AE0-79BA-CCF0-6619-22ADD1BE781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483186" y="3469823"/>
            <a:ext cx="902029" cy="914400"/>
          </a:xfrm>
          <a:prstGeom prst="rect">
            <a:avLst/>
          </a:prstGeom>
        </xdr:spPr>
      </xdr:pic>
      <xdr:pic>
        <xdr:nvPicPr>
          <xdr:cNvPr id="55" name="Graphic 54" descr="North America with solid fill">
            <a:extLst>
              <a:ext uri="{FF2B5EF4-FFF2-40B4-BE49-F238E27FC236}">
                <a16:creationId xmlns:a16="http://schemas.microsoft.com/office/drawing/2014/main" id="{A1C9ACFD-8630-26A0-6BE8-CC5E6667E78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913981" y="3579000"/>
            <a:ext cx="908214" cy="914400"/>
          </a:xfrm>
          <a:prstGeom prst="rect">
            <a:avLst/>
          </a:prstGeom>
        </xdr:spPr>
      </xdr:pic>
      <xdr:pic>
        <xdr:nvPicPr>
          <xdr:cNvPr id="57" name="Graphic 56" descr="Shopping cart with solid fill">
            <a:extLst>
              <a:ext uri="{FF2B5EF4-FFF2-40B4-BE49-F238E27FC236}">
                <a16:creationId xmlns:a16="http://schemas.microsoft.com/office/drawing/2014/main" id="{56C56549-7DDE-B0B9-054A-7A7C33AD006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456615" y="1225288"/>
            <a:ext cx="902029" cy="914400"/>
          </a:xfrm>
          <a:prstGeom prst="rect">
            <a:avLst/>
          </a:prstGeom>
        </xdr:spPr>
      </xdr:pic>
    </xdr:grpSp>
    <xdr:clientData/>
  </xdr:twoCellAnchor>
  <xdr:twoCellAnchor>
    <xdr:from>
      <xdr:col>92</xdr:col>
      <xdr:colOff>266699</xdr:colOff>
      <xdr:row>23</xdr:row>
      <xdr:rowOff>145473</xdr:rowOff>
    </xdr:from>
    <xdr:to>
      <xdr:col>126</xdr:col>
      <xdr:colOff>95250</xdr:colOff>
      <xdr:row>107</xdr:row>
      <xdr:rowOff>95250</xdr:rowOff>
    </xdr:to>
    <xdr:grpSp>
      <xdr:nvGrpSpPr>
        <xdr:cNvPr id="105" name="Group 104">
          <a:extLst>
            <a:ext uri="{FF2B5EF4-FFF2-40B4-BE49-F238E27FC236}">
              <a16:creationId xmlns:a16="http://schemas.microsoft.com/office/drawing/2014/main" id="{1EFD5637-1DB5-2A87-9602-FA8AC48D3E10}"/>
            </a:ext>
          </a:extLst>
        </xdr:cNvPr>
        <xdr:cNvGrpSpPr/>
      </xdr:nvGrpSpPr>
      <xdr:grpSpPr>
        <a:xfrm>
          <a:off x="52844699" y="4526973"/>
          <a:ext cx="19259551" cy="15951777"/>
          <a:chOff x="28698824" y="1431348"/>
          <a:chExt cx="20878801" cy="15951777"/>
        </a:xfrm>
      </xdr:grpSpPr>
      <xdr:grpSp>
        <xdr:nvGrpSpPr>
          <xdr:cNvPr id="103" name="Group 102">
            <a:extLst>
              <a:ext uri="{FF2B5EF4-FFF2-40B4-BE49-F238E27FC236}">
                <a16:creationId xmlns:a16="http://schemas.microsoft.com/office/drawing/2014/main" id="{D5888DE5-3742-F2EF-53C5-A6803FAEC2F9}"/>
              </a:ext>
            </a:extLst>
          </xdr:cNvPr>
          <xdr:cNvGrpSpPr/>
        </xdr:nvGrpSpPr>
        <xdr:grpSpPr>
          <a:xfrm>
            <a:off x="28698824" y="1431348"/>
            <a:ext cx="20878801" cy="15951777"/>
            <a:chOff x="23393399" y="945573"/>
            <a:chExt cx="19219718" cy="14668499"/>
          </a:xfrm>
        </xdr:grpSpPr>
        <xdr:sp macro="" textlink="">
          <xdr:nvSpPr>
            <xdr:cNvPr id="2" name="Rectangle 1">
              <a:extLst>
                <a:ext uri="{FF2B5EF4-FFF2-40B4-BE49-F238E27FC236}">
                  <a16:creationId xmlns:a16="http://schemas.microsoft.com/office/drawing/2014/main" id="{7C238A68-9368-6F1E-7D3F-2CDDD2334B69}"/>
                </a:ext>
              </a:extLst>
            </xdr:cNvPr>
            <xdr:cNvSpPr/>
          </xdr:nvSpPr>
          <xdr:spPr>
            <a:xfrm>
              <a:off x="23393399" y="945573"/>
              <a:ext cx="19219718" cy="14668499"/>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1417620C-A8C7-05D8-6F28-5192F19D9F73}"/>
                </a:ext>
              </a:extLst>
            </xdr:cNvPr>
            <xdr:cNvSpPr txBox="1"/>
          </xdr:nvSpPr>
          <xdr:spPr>
            <a:xfrm>
              <a:off x="29885889" y="976746"/>
              <a:ext cx="7429440" cy="966787"/>
            </a:xfrm>
            <a:prstGeom prst="rect">
              <a:avLst/>
            </a:prstGeom>
            <a:noFill/>
            <a:ln w="381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gradFill>
                    <a:gsLst>
                      <a:gs pos="0">
                        <a:schemeClr val="tx1">
                          <a:lumMod val="95000"/>
                          <a:lumOff val="5000"/>
                        </a:schemeClr>
                      </a:gs>
                      <a:gs pos="48000">
                        <a:schemeClr val="bg2">
                          <a:lumMod val="25000"/>
                        </a:schemeClr>
                      </a:gs>
                      <a:gs pos="100000">
                        <a:schemeClr val="tx1">
                          <a:lumMod val="75000"/>
                          <a:lumOff val="25000"/>
                        </a:schemeClr>
                      </a:gs>
                    </a:gsLst>
                    <a:lin ang="16200000" scaled="1"/>
                  </a:gradFill>
                </a:rPr>
                <a:t>DashBoard Per Less Sales Product </a:t>
              </a:r>
            </a:p>
          </xdr:txBody>
        </xdr:sp>
        <xdr:grpSp>
          <xdr:nvGrpSpPr>
            <xdr:cNvPr id="84" name="Group 83">
              <a:extLst>
                <a:ext uri="{FF2B5EF4-FFF2-40B4-BE49-F238E27FC236}">
                  <a16:creationId xmlns:a16="http://schemas.microsoft.com/office/drawing/2014/main" id="{2F760449-1827-E7C2-DF0E-1E1625280B37}"/>
                </a:ext>
              </a:extLst>
            </xdr:cNvPr>
            <xdr:cNvGrpSpPr/>
          </xdr:nvGrpSpPr>
          <xdr:grpSpPr>
            <a:xfrm>
              <a:off x="24002746" y="6548004"/>
              <a:ext cx="7175370" cy="4585719"/>
              <a:chOff x="18876625" y="5931476"/>
              <a:chExt cx="7472988" cy="4585719"/>
            </a:xfrm>
          </xdr:grpSpPr>
          <xdr:sp macro="" textlink="">
            <xdr:nvSpPr>
              <xdr:cNvPr id="29" name="Rectangle: Rounded Corners 28">
                <a:extLst>
                  <a:ext uri="{FF2B5EF4-FFF2-40B4-BE49-F238E27FC236}">
                    <a16:creationId xmlns:a16="http://schemas.microsoft.com/office/drawing/2014/main" id="{087922C6-FF3E-5BCA-B859-2F9DC4C18D21}"/>
                  </a:ext>
                </a:extLst>
              </xdr:cNvPr>
              <xdr:cNvSpPr/>
            </xdr:nvSpPr>
            <xdr:spPr>
              <a:xfrm>
                <a:off x="18876625" y="5931476"/>
                <a:ext cx="7472988" cy="4585719"/>
              </a:xfrm>
              <a:prstGeom prst="roundRect">
                <a:avLst/>
              </a:prstGeom>
              <a:solidFill>
                <a:schemeClr val="bg1">
                  <a:lumMod val="95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 name="Chart 9">
                <a:extLst>
                  <a:ext uri="{FF2B5EF4-FFF2-40B4-BE49-F238E27FC236}">
                    <a16:creationId xmlns:a16="http://schemas.microsoft.com/office/drawing/2014/main" id="{292829C7-343C-4F10-BFEB-C2A50DC1B4CC}"/>
                  </a:ext>
                </a:extLst>
              </xdr:cNvPr>
              <xdr:cNvGraphicFramePr>
                <a:graphicFrameLocks/>
              </xdr:cNvGraphicFramePr>
            </xdr:nvGraphicFramePr>
            <xdr:xfrm>
              <a:off x="19058264" y="6355773"/>
              <a:ext cx="7081830" cy="3652416"/>
            </xdr:xfrm>
            <a:graphic>
              <a:graphicData uri="http://schemas.openxmlformats.org/drawingml/2006/chart">
                <c:chart xmlns:c="http://schemas.openxmlformats.org/drawingml/2006/chart" xmlns:r="http://schemas.openxmlformats.org/officeDocument/2006/relationships" r:id="rId15"/>
              </a:graphicData>
            </a:graphic>
          </xdr:graphicFrame>
        </xdr:grpSp>
        <xdr:grpSp>
          <xdr:nvGrpSpPr>
            <xdr:cNvPr id="76" name="Group 75">
              <a:extLst>
                <a:ext uri="{FF2B5EF4-FFF2-40B4-BE49-F238E27FC236}">
                  <a16:creationId xmlns:a16="http://schemas.microsoft.com/office/drawing/2014/main" id="{2EA9C869-A391-D532-5AB5-76FD4767A999}"/>
                </a:ext>
              </a:extLst>
            </xdr:cNvPr>
            <xdr:cNvGrpSpPr/>
          </xdr:nvGrpSpPr>
          <xdr:grpSpPr>
            <a:xfrm>
              <a:off x="23844285" y="11485849"/>
              <a:ext cx="10009282" cy="3731635"/>
              <a:chOff x="19486356" y="8860414"/>
              <a:chExt cx="9840438" cy="3238500"/>
            </a:xfrm>
          </xdr:grpSpPr>
          <xdr:sp macro="" textlink="">
            <xdr:nvSpPr>
              <xdr:cNvPr id="16" name="Rectangle: Rounded Corners 15">
                <a:extLst>
                  <a:ext uri="{FF2B5EF4-FFF2-40B4-BE49-F238E27FC236}">
                    <a16:creationId xmlns:a16="http://schemas.microsoft.com/office/drawing/2014/main" id="{C5615A79-4947-9857-24E9-DFC6520CCB57}"/>
                  </a:ext>
                </a:extLst>
              </xdr:cNvPr>
              <xdr:cNvSpPr/>
            </xdr:nvSpPr>
            <xdr:spPr>
              <a:xfrm>
                <a:off x="19486356" y="8860414"/>
                <a:ext cx="9840438" cy="3238500"/>
              </a:xfrm>
              <a:prstGeom prst="roundRect">
                <a:avLst/>
              </a:prstGeom>
              <a:solidFill>
                <a:schemeClr val="bg1">
                  <a:lumMod val="95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 name="Chart 10">
                <a:extLst>
                  <a:ext uri="{FF2B5EF4-FFF2-40B4-BE49-F238E27FC236}">
                    <a16:creationId xmlns:a16="http://schemas.microsoft.com/office/drawing/2014/main" id="{4BF08F8E-5864-47D4-B02A-CADF99B92C30}"/>
                  </a:ext>
                </a:extLst>
              </xdr:cNvPr>
              <xdr:cNvGraphicFramePr>
                <a:graphicFrameLocks/>
              </xdr:cNvGraphicFramePr>
            </xdr:nvGraphicFramePr>
            <xdr:xfrm>
              <a:off x="20137956" y="9124560"/>
              <a:ext cx="8763545" cy="2700726"/>
            </xdr:xfrm>
            <a:graphic>
              <a:graphicData uri="http://schemas.openxmlformats.org/drawingml/2006/chart">
                <c:chart xmlns:c="http://schemas.openxmlformats.org/drawingml/2006/chart" xmlns:r="http://schemas.openxmlformats.org/officeDocument/2006/relationships" r:id="rId16"/>
              </a:graphicData>
            </a:graphic>
          </xdr:graphicFrame>
        </xdr:grpSp>
        <xdr:grpSp>
          <xdr:nvGrpSpPr>
            <xdr:cNvPr id="59" name="Group 58">
              <a:extLst>
                <a:ext uri="{FF2B5EF4-FFF2-40B4-BE49-F238E27FC236}">
                  <a16:creationId xmlns:a16="http://schemas.microsoft.com/office/drawing/2014/main" id="{ACAF3544-4115-473C-E10C-9ED869E00EE8}"/>
                </a:ext>
              </a:extLst>
            </xdr:cNvPr>
            <xdr:cNvGrpSpPr/>
          </xdr:nvGrpSpPr>
          <xdr:grpSpPr>
            <a:xfrm>
              <a:off x="31685602" y="6683150"/>
              <a:ext cx="2070021" cy="1935661"/>
              <a:chOff x="28505730" y="4485411"/>
              <a:chExt cx="2027956" cy="1679864"/>
            </a:xfrm>
          </xdr:grpSpPr>
          <xdr:sp macro="" textlink="'Pivot Tables'!$DK$10">
            <xdr:nvSpPr>
              <xdr:cNvPr id="47" name="Rectangle: Rounded Corners 46">
                <a:extLst>
                  <a:ext uri="{FF2B5EF4-FFF2-40B4-BE49-F238E27FC236}">
                    <a16:creationId xmlns:a16="http://schemas.microsoft.com/office/drawing/2014/main" id="{D2F99CBE-8E8C-F3F2-E95F-31B7AFEA4668}"/>
                  </a:ext>
                </a:extLst>
              </xdr:cNvPr>
              <xdr:cNvSpPr/>
            </xdr:nvSpPr>
            <xdr:spPr>
              <a:xfrm>
                <a:off x="28505730" y="4485411"/>
                <a:ext cx="2027956" cy="1679864"/>
              </a:xfrm>
              <a:prstGeom prst="roundRect">
                <a:avLst/>
              </a:prstGeom>
              <a:solidFill>
                <a:schemeClr val="bg1">
                  <a:lumMod val="95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i="0" u="none" strike="noStrike">
                  <a:gradFill>
                    <a:gsLst>
                      <a:gs pos="3000">
                        <a:schemeClr val="bg2">
                          <a:lumMod val="10000"/>
                        </a:schemeClr>
                      </a:gs>
                      <a:gs pos="36000">
                        <a:schemeClr val="tx1">
                          <a:lumMod val="75000"/>
                          <a:lumOff val="25000"/>
                        </a:schemeClr>
                      </a:gs>
                      <a:gs pos="86000">
                        <a:schemeClr val="bg2">
                          <a:lumMod val="50000"/>
                        </a:schemeClr>
                      </a:gs>
                      <a:gs pos="96000">
                        <a:schemeClr val="bg2"/>
                      </a:gs>
                    </a:gsLst>
                    <a:lin ang="5400000" scaled="1"/>
                  </a:gradFill>
                  <a:latin typeface="Calibri"/>
                  <a:cs typeface="Calibri"/>
                </a:endParaRPr>
              </a:p>
              <a:p>
                <a:pPr algn="ctr"/>
                <a:fld id="{0371CB6D-4352-4B39-8844-569A3FCD1EF6}" type="TxLink">
                  <a:rPr lang="en-US" sz="2000" b="1" i="0" u="none" strike="noStrike">
                    <a:gradFill>
                      <a:gsLst>
                        <a:gs pos="3000">
                          <a:schemeClr val="bg2">
                            <a:lumMod val="10000"/>
                          </a:schemeClr>
                        </a:gs>
                        <a:gs pos="36000">
                          <a:schemeClr val="tx1">
                            <a:lumMod val="75000"/>
                            <a:lumOff val="25000"/>
                          </a:schemeClr>
                        </a:gs>
                        <a:gs pos="86000">
                          <a:schemeClr val="bg2">
                            <a:lumMod val="50000"/>
                          </a:schemeClr>
                        </a:gs>
                        <a:gs pos="96000">
                          <a:schemeClr val="bg2"/>
                        </a:gs>
                      </a:gsLst>
                      <a:lin ang="5400000" scaled="1"/>
                    </a:gradFill>
                    <a:latin typeface="Calibri"/>
                    <a:cs typeface="Calibri"/>
                  </a:rPr>
                  <a:pPr algn="ctr"/>
                  <a:t>Spicy Special Slims</a:t>
                </a:fld>
                <a:endParaRPr lang="en-US" sz="2000" b="1">
                  <a:gradFill>
                    <a:gsLst>
                      <a:gs pos="3000">
                        <a:schemeClr val="bg2">
                          <a:lumMod val="10000"/>
                        </a:schemeClr>
                      </a:gs>
                      <a:gs pos="36000">
                        <a:schemeClr val="tx1">
                          <a:lumMod val="75000"/>
                          <a:lumOff val="25000"/>
                        </a:schemeClr>
                      </a:gs>
                      <a:gs pos="86000">
                        <a:schemeClr val="bg2">
                          <a:lumMod val="50000"/>
                        </a:schemeClr>
                      </a:gs>
                      <a:gs pos="96000">
                        <a:schemeClr val="bg2"/>
                      </a:gs>
                    </a:gsLst>
                    <a:lin ang="5400000" scaled="1"/>
                  </a:gradFill>
                </a:endParaRPr>
              </a:p>
            </xdr:txBody>
          </xdr:sp>
          <xdr:pic>
            <xdr:nvPicPr>
              <xdr:cNvPr id="58" name="Graphic 57" descr="Downward trend graph with solid fill">
                <a:extLst>
                  <a:ext uri="{FF2B5EF4-FFF2-40B4-BE49-F238E27FC236}">
                    <a16:creationId xmlns:a16="http://schemas.microsoft.com/office/drawing/2014/main" id="{9906CD9E-3618-40C2-E5E0-3542EF58878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9059909" y="5242942"/>
                <a:ext cx="914400" cy="861483"/>
              </a:xfrm>
              <a:prstGeom prst="rect">
                <a:avLst/>
              </a:prstGeom>
              <a:effectLst>
                <a:innerShdw blurRad="63500" dist="50800" dir="8100000">
                  <a:prstClr val="black">
                    <a:alpha val="50000"/>
                  </a:prstClr>
                </a:innerShdw>
              </a:effectLst>
            </xdr:spPr>
          </xdr:pic>
        </xdr:grpSp>
        <xdr:grpSp>
          <xdr:nvGrpSpPr>
            <xdr:cNvPr id="67" name="Group 66">
              <a:extLst>
                <a:ext uri="{FF2B5EF4-FFF2-40B4-BE49-F238E27FC236}">
                  <a16:creationId xmlns:a16="http://schemas.microsoft.com/office/drawing/2014/main" id="{07A950BA-8F5B-CDC6-8928-B4CD298725C9}"/>
                </a:ext>
              </a:extLst>
            </xdr:cNvPr>
            <xdr:cNvGrpSpPr/>
          </xdr:nvGrpSpPr>
          <xdr:grpSpPr>
            <a:xfrm>
              <a:off x="31653489" y="9058769"/>
              <a:ext cx="2084701" cy="1935661"/>
              <a:chOff x="28181261" y="6606516"/>
              <a:chExt cx="2066922" cy="1679864"/>
            </a:xfrm>
          </xdr:grpSpPr>
          <xdr:sp macro="" textlink="'Pivot Tables'!$DK$20">
            <xdr:nvSpPr>
              <xdr:cNvPr id="61" name="Rectangle: Rounded Corners 60">
                <a:extLst>
                  <a:ext uri="{FF2B5EF4-FFF2-40B4-BE49-F238E27FC236}">
                    <a16:creationId xmlns:a16="http://schemas.microsoft.com/office/drawing/2014/main" id="{6162497D-7185-B2AF-A583-A1875EEB6A8E}"/>
                  </a:ext>
                </a:extLst>
              </xdr:cNvPr>
              <xdr:cNvSpPr/>
            </xdr:nvSpPr>
            <xdr:spPr>
              <a:xfrm>
                <a:off x="28181261" y="6606516"/>
                <a:ext cx="2066922" cy="1679864"/>
              </a:xfrm>
              <a:prstGeom prst="roundRect">
                <a:avLst/>
              </a:prstGeom>
              <a:solidFill>
                <a:schemeClr val="bg1">
                  <a:lumMod val="95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8BB4521-B31B-457F-99FD-3F3D3CC8A242}" type="TxLink">
                  <a:rPr lang="en-US" sz="2800" b="1" i="0" u="none" strike="noStrike">
                    <a:gradFill>
                      <a:gsLst>
                        <a:gs pos="3000">
                          <a:schemeClr val="bg2">
                            <a:lumMod val="10000"/>
                          </a:schemeClr>
                        </a:gs>
                        <a:gs pos="36000">
                          <a:schemeClr val="tx1">
                            <a:lumMod val="75000"/>
                            <a:lumOff val="25000"/>
                          </a:schemeClr>
                        </a:gs>
                        <a:gs pos="86000">
                          <a:schemeClr val="bg2">
                            <a:lumMod val="50000"/>
                          </a:schemeClr>
                        </a:gs>
                        <a:gs pos="96000">
                          <a:schemeClr val="bg2"/>
                        </a:gs>
                      </a:gsLst>
                      <a:lin ang="5400000" scaled="1"/>
                    </a:gradFill>
                    <a:latin typeface="Calibri"/>
                    <a:cs typeface="Calibri"/>
                  </a:rPr>
                  <a:pPr algn="ctr"/>
                  <a:t>Giza </a:t>
                </a:fld>
                <a:endParaRPr lang="en-US" sz="4000" b="1">
                  <a:gradFill>
                    <a:gsLst>
                      <a:gs pos="3000">
                        <a:schemeClr val="bg2">
                          <a:lumMod val="10000"/>
                        </a:schemeClr>
                      </a:gs>
                      <a:gs pos="36000">
                        <a:schemeClr val="tx1">
                          <a:lumMod val="75000"/>
                          <a:lumOff val="25000"/>
                        </a:schemeClr>
                      </a:gs>
                      <a:gs pos="86000">
                        <a:schemeClr val="bg2">
                          <a:lumMod val="50000"/>
                        </a:schemeClr>
                      </a:gs>
                      <a:gs pos="96000">
                        <a:schemeClr val="bg2"/>
                      </a:gs>
                    </a:gsLst>
                    <a:lin ang="5400000" scaled="1"/>
                  </a:gradFill>
                </a:endParaRPr>
              </a:p>
            </xdr:txBody>
          </xdr:sp>
          <xdr:pic>
            <xdr:nvPicPr>
              <xdr:cNvPr id="66" name="Graphic 65" descr="City with solid fill">
                <a:extLst>
                  <a:ext uri="{FF2B5EF4-FFF2-40B4-BE49-F238E27FC236}">
                    <a16:creationId xmlns:a16="http://schemas.microsoft.com/office/drawing/2014/main" id="{3381BE4D-EF00-18C9-3A4C-7D7CC7C47AC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8694062" y="7167562"/>
                <a:ext cx="1119188" cy="914400"/>
              </a:xfrm>
              <a:prstGeom prst="rect">
                <a:avLst/>
              </a:prstGeom>
              <a:effectLst>
                <a:outerShdw blurRad="50800" dist="38100" dir="8100000" algn="tr" rotWithShape="0">
                  <a:prstClr val="black">
                    <a:alpha val="40000"/>
                  </a:prstClr>
                </a:outerShdw>
              </a:effectLst>
            </xdr:spPr>
          </xdr:pic>
        </xdr:grpSp>
        <xdr:grpSp>
          <xdr:nvGrpSpPr>
            <xdr:cNvPr id="75" name="Group 74">
              <a:extLst>
                <a:ext uri="{FF2B5EF4-FFF2-40B4-BE49-F238E27FC236}">
                  <a16:creationId xmlns:a16="http://schemas.microsoft.com/office/drawing/2014/main" id="{06185D9F-C58D-0BBC-FAFD-52B6109C3092}"/>
                </a:ext>
              </a:extLst>
            </xdr:cNvPr>
            <xdr:cNvGrpSpPr/>
          </xdr:nvGrpSpPr>
          <xdr:grpSpPr>
            <a:xfrm>
              <a:off x="34468734" y="8991600"/>
              <a:ext cx="7669866" cy="6324600"/>
              <a:chOff x="29969980" y="8893751"/>
              <a:chExt cx="7534707" cy="3238500"/>
            </a:xfrm>
          </xdr:grpSpPr>
          <xdr:sp macro="" textlink="">
            <xdr:nvSpPr>
              <xdr:cNvPr id="73" name="Rectangle: Rounded Corners 72">
                <a:extLst>
                  <a:ext uri="{FF2B5EF4-FFF2-40B4-BE49-F238E27FC236}">
                    <a16:creationId xmlns:a16="http://schemas.microsoft.com/office/drawing/2014/main" id="{00A9BEFB-2E37-C4FB-F2FC-9CE28CC1E9F9}"/>
                  </a:ext>
                </a:extLst>
              </xdr:cNvPr>
              <xdr:cNvSpPr/>
            </xdr:nvSpPr>
            <xdr:spPr>
              <a:xfrm>
                <a:off x="29969980" y="8893751"/>
                <a:ext cx="7534707" cy="3238500"/>
              </a:xfrm>
              <a:prstGeom prst="roundRect">
                <a:avLst/>
              </a:prstGeom>
              <a:solidFill>
                <a:schemeClr val="bg1">
                  <a:lumMod val="95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8" name="Chart 67">
                <a:extLst>
                  <a:ext uri="{FF2B5EF4-FFF2-40B4-BE49-F238E27FC236}">
                    <a16:creationId xmlns:a16="http://schemas.microsoft.com/office/drawing/2014/main" id="{CB2F7781-24DA-436B-BD77-101EEF95F96D}"/>
                  </a:ext>
                </a:extLst>
              </xdr:cNvPr>
              <xdr:cNvGraphicFramePr>
                <a:graphicFrameLocks/>
              </xdr:cNvGraphicFramePr>
            </xdr:nvGraphicFramePr>
            <xdr:xfrm>
              <a:off x="30418954" y="8954740"/>
              <a:ext cx="6728546" cy="2870548"/>
            </xdr:xfrm>
            <a:graphic>
              <a:graphicData uri="http://schemas.openxmlformats.org/drawingml/2006/chart">
                <c:chart xmlns:c="http://schemas.openxmlformats.org/drawingml/2006/chart" xmlns:r="http://schemas.openxmlformats.org/officeDocument/2006/relationships" r:id="rId21"/>
              </a:graphicData>
            </a:graphic>
          </xdr:graphicFrame>
        </xdr:grpSp>
        <xdr:grpSp>
          <xdr:nvGrpSpPr>
            <xdr:cNvPr id="82" name="Group 81">
              <a:extLst>
                <a:ext uri="{FF2B5EF4-FFF2-40B4-BE49-F238E27FC236}">
                  <a16:creationId xmlns:a16="http://schemas.microsoft.com/office/drawing/2014/main" id="{7B3EFEBB-E8E8-65D2-9156-F70A8D49229A}"/>
                </a:ext>
              </a:extLst>
            </xdr:cNvPr>
            <xdr:cNvGrpSpPr/>
          </xdr:nvGrpSpPr>
          <xdr:grpSpPr>
            <a:xfrm>
              <a:off x="24003000" y="1943100"/>
              <a:ext cx="9906000" cy="4381500"/>
              <a:chOff x="29973889" y="4503963"/>
              <a:chExt cx="7355078" cy="3780186"/>
            </a:xfrm>
          </xdr:grpSpPr>
          <xdr:sp macro="" textlink="">
            <xdr:nvSpPr>
              <xdr:cNvPr id="78" name="Rectangle: Rounded Corners 77">
                <a:extLst>
                  <a:ext uri="{FF2B5EF4-FFF2-40B4-BE49-F238E27FC236}">
                    <a16:creationId xmlns:a16="http://schemas.microsoft.com/office/drawing/2014/main" id="{F2630B42-7802-657A-F6A4-C4543321024D}"/>
                  </a:ext>
                </a:extLst>
              </xdr:cNvPr>
              <xdr:cNvSpPr/>
            </xdr:nvSpPr>
            <xdr:spPr>
              <a:xfrm>
                <a:off x="29973889" y="4503963"/>
                <a:ext cx="7355078" cy="3780186"/>
              </a:xfrm>
              <a:prstGeom prst="roundRect">
                <a:avLst/>
              </a:prstGeom>
              <a:solidFill>
                <a:schemeClr val="bg1">
                  <a:lumMod val="95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0" name="Chart 79">
                <a:extLst>
                  <a:ext uri="{FF2B5EF4-FFF2-40B4-BE49-F238E27FC236}">
                    <a16:creationId xmlns:a16="http://schemas.microsoft.com/office/drawing/2014/main" id="{EC4343D4-AD3D-42C6-8F7D-BAB3C31F5B50}"/>
                  </a:ext>
                </a:extLst>
              </xdr:cNvPr>
              <xdr:cNvGraphicFramePr>
                <a:graphicFrameLocks/>
              </xdr:cNvGraphicFramePr>
            </xdr:nvGraphicFramePr>
            <xdr:xfrm>
              <a:off x="30451127" y="4724484"/>
              <a:ext cx="6604651" cy="3241879"/>
            </xdr:xfrm>
            <a:graphic>
              <a:graphicData uri="http://schemas.openxmlformats.org/drawingml/2006/chart">
                <c:chart xmlns:c="http://schemas.openxmlformats.org/drawingml/2006/chart" xmlns:r="http://schemas.openxmlformats.org/officeDocument/2006/relationships" r:id="rId22"/>
              </a:graphicData>
            </a:graphic>
          </xdr:graphicFrame>
        </xdr:grpSp>
        <xdr:grpSp>
          <xdr:nvGrpSpPr>
            <xdr:cNvPr id="96" name="Group 95">
              <a:extLst>
                <a:ext uri="{FF2B5EF4-FFF2-40B4-BE49-F238E27FC236}">
                  <a16:creationId xmlns:a16="http://schemas.microsoft.com/office/drawing/2014/main" id="{FE6987FD-AEBA-D65A-F453-B53D80EA77EF}"/>
                </a:ext>
              </a:extLst>
            </xdr:cNvPr>
            <xdr:cNvGrpSpPr/>
          </xdr:nvGrpSpPr>
          <xdr:grpSpPr>
            <a:xfrm>
              <a:off x="34594800" y="1905000"/>
              <a:ext cx="7353300" cy="6629400"/>
              <a:chOff x="19106247" y="1547812"/>
              <a:chExt cx="9858412" cy="4025611"/>
            </a:xfrm>
          </xdr:grpSpPr>
          <xdr:sp macro="" textlink="">
            <xdr:nvSpPr>
              <xdr:cNvPr id="86" name="Rectangle: Rounded Corners 85">
                <a:extLst>
                  <a:ext uri="{FF2B5EF4-FFF2-40B4-BE49-F238E27FC236}">
                    <a16:creationId xmlns:a16="http://schemas.microsoft.com/office/drawing/2014/main" id="{0CDE2223-80DC-834C-3DF0-0AEBFD81AC19}"/>
                  </a:ext>
                </a:extLst>
              </xdr:cNvPr>
              <xdr:cNvSpPr/>
            </xdr:nvSpPr>
            <xdr:spPr>
              <a:xfrm>
                <a:off x="19106247" y="1547812"/>
                <a:ext cx="9858412" cy="4025611"/>
              </a:xfrm>
              <a:prstGeom prst="roundRect">
                <a:avLst/>
              </a:prstGeom>
              <a:solidFill>
                <a:schemeClr val="bg1">
                  <a:lumMod val="95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8" name="Chart 87">
                <a:extLst>
                  <a:ext uri="{FF2B5EF4-FFF2-40B4-BE49-F238E27FC236}">
                    <a16:creationId xmlns:a16="http://schemas.microsoft.com/office/drawing/2014/main" id="{6A1BC46F-73F4-4621-892E-4114212C47A1}"/>
                  </a:ext>
                </a:extLst>
              </xdr:cNvPr>
              <xdr:cNvGraphicFramePr>
                <a:graphicFrameLocks/>
              </xdr:cNvGraphicFramePr>
            </xdr:nvGraphicFramePr>
            <xdr:xfrm>
              <a:off x="19519683" y="1765463"/>
              <a:ext cx="9112258" cy="3493627"/>
            </xdr:xfrm>
            <a:graphic>
              <a:graphicData uri="http://schemas.openxmlformats.org/drawingml/2006/chart">
                <c:chart xmlns:c="http://schemas.openxmlformats.org/drawingml/2006/chart" xmlns:r="http://schemas.openxmlformats.org/officeDocument/2006/relationships" r:id="rId23"/>
              </a:graphicData>
            </a:graphic>
          </xdr:graphicFrame>
        </xdr:grpSp>
      </xdr:grpSp>
      <xdr:sp macro="" textlink="">
        <xdr:nvSpPr>
          <xdr:cNvPr id="100" name="TextBox 99">
            <a:extLst>
              <a:ext uri="{FF2B5EF4-FFF2-40B4-BE49-F238E27FC236}">
                <a16:creationId xmlns:a16="http://schemas.microsoft.com/office/drawing/2014/main" id="{37BCF06D-CEB6-81EE-1D6B-328EE20A7A51}"/>
              </a:ext>
            </a:extLst>
          </xdr:cNvPr>
          <xdr:cNvSpPr txBox="1"/>
        </xdr:nvSpPr>
        <xdr:spPr>
          <a:xfrm>
            <a:off x="32130841" y="13054445"/>
            <a:ext cx="3468846" cy="1090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800" b="1" i="0" u="none" strike="noStrike" kern="1200" baseline="0">
                <a:gradFill>
                  <a:gsLst>
                    <a:gs pos="3000">
                      <a:srgbClr val="E7E6E6">
                        <a:lumMod val="10000"/>
                      </a:srgbClr>
                    </a:gs>
                    <a:gs pos="36000">
                      <a:sysClr val="windowText" lastClr="000000">
                        <a:lumMod val="75000"/>
                        <a:lumOff val="25000"/>
                      </a:sysClr>
                    </a:gs>
                    <a:gs pos="71000">
                      <a:srgbClr val="E7E6E6">
                        <a:lumMod val="50000"/>
                      </a:srgbClr>
                    </a:gs>
                    <a:gs pos="96000">
                      <a:srgbClr val="E7E6E6"/>
                    </a:gs>
                  </a:gsLst>
                  <a:lin ang="5400000" scaled="1"/>
                </a:gradFill>
                <a:latin typeface="+mn-lt"/>
                <a:ea typeface="+mn-ea"/>
                <a:cs typeface="+mn-cs"/>
              </a:rPr>
              <a:t>Spicy Special Slims</a:t>
            </a:r>
          </a:p>
          <a:p>
            <a:endParaRPr lang="en-US" sz="1600"/>
          </a:p>
        </xdr:txBody>
      </xdr:sp>
    </xdr:grpSp>
    <xdr:clientData/>
  </xdr:twoCellAnchor>
  <xdr:twoCellAnchor>
    <xdr:from>
      <xdr:col>12</xdr:col>
      <xdr:colOff>0</xdr:colOff>
      <xdr:row>115</xdr:row>
      <xdr:rowOff>152400</xdr:rowOff>
    </xdr:from>
    <xdr:to>
      <xdr:col>54</xdr:col>
      <xdr:colOff>114300</xdr:colOff>
      <xdr:row>210</xdr:row>
      <xdr:rowOff>173182</xdr:rowOff>
    </xdr:to>
    <xdr:sp macro="" textlink="">
      <xdr:nvSpPr>
        <xdr:cNvPr id="8" name="Rectangle 7">
          <a:extLst>
            <a:ext uri="{FF2B5EF4-FFF2-40B4-BE49-F238E27FC236}">
              <a16:creationId xmlns:a16="http://schemas.microsoft.com/office/drawing/2014/main" id="{5FF449F9-46C2-4A72-B6E8-BDF1CB157D51}"/>
            </a:ext>
          </a:extLst>
        </xdr:cNvPr>
        <xdr:cNvSpPr/>
      </xdr:nvSpPr>
      <xdr:spPr>
        <a:xfrm>
          <a:off x="13692188" y="27477244"/>
          <a:ext cx="25117425" cy="16987188"/>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innerShdw blurRad="63500" dist="50800" dir="2700000">
            <a:prstClr val="black">
              <a:alpha val="50000"/>
            </a:prstClr>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610807</xdr:colOff>
      <xdr:row>139</xdr:row>
      <xdr:rowOff>126589</xdr:rowOff>
    </xdr:from>
    <xdr:to>
      <xdr:col>33</xdr:col>
      <xdr:colOff>571500</xdr:colOff>
      <xdr:row>159</xdr:row>
      <xdr:rowOff>61423</xdr:rowOff>
    </xdr:to>
    <xdr:sp macro="" textlink="">
      <xdr:nvSpPr>
        <xdr:cNvPr id="9" name="Rectangle: Rounded Corners 8">
          <a:extLst>
            <a:ext uri="{FF2B5EF4-FFF2-40B4-BE49-F238E27FC236}">
              <a16:creationId xmlns:a16="http://schemas.microsoft.com/office/drawing/2014/main" id="{5BAFAF1F-C09C-4E56-A501-D3D147169342}"/>
            </a:ext>
          </a:extLst>
        </xdr:cNvPr>
        <xdr:cNvSpPr/>
      </xdr:nvSpPr>
      <xdr:spPr>
        <a:xfrm>
          <a:off x="14850682" y="33845089"/>
          <a:ext cx="12962318" cy="3744834"/>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800" b="1" i="0" u="none" strike="noStrike">
            <a:solidFill>
              <a:schemeClr val="bg1"/>
            </a:solidFill>
            <a:latin typeface="Calibri"/>
            <a:ea typeface="+mn-ea"/>
            <a:cs typeface="Calibri"/>
          </a:endParaRPr>
        </a:p>
      </xdr:txBody>
    </xdr:sp>
    <xdr:clientData/>
  </xdr:twoCellAnchor>
  <xdr:twoCellAnchor>
    <xdr:from>
      <xdr:col>13</xdr:col>
      <xdr:colOff>24808</xdr:colOff>
      <xdr:row>163</xdr:row>
      <xdr:rowOff>12640</xdr:rowOff>
    </xdr:from>
    <xdr:to>
      <xdr:col>29</xdr:col>
      <xdr:colOff>595312</xdr:colOff>
      <xdr:row>182</xdr:row>
      <xdr:rowOff>137974</xdr:rowOff>
    </xdr:to>
    <xdr:sp macro="" textlink="">
      <xdr:nvSpPr>
        <xdr:cNvPr id="20" name="Rectangle: Rounded Corners 19">
          <a:extLst>
            <a:ext uri="{FF2B5EF4-FFF2-40B4-BE49-F238E27FC236}">
              <a16:creationId xmlns:a16="http://schemas.microsoft.com/office/drawing/2014/main" id="{48B3CFD8-05CA-4CCD-90BB-C6616B604C69}"/>
            </a:ext>
          </a:extLst>
        </xdr:cNvPr>
        <xdr:cNvSpPr/>
      </xdr:nvSpPr>
      <xdr:spPr>
        <a:xfrm>
          <a:off x="14883808" y="38303140"/>
          <a:ext cx="10476504" cy="3744834"/>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800" b="1" i="0" u="none" strike="noStrike">
            <a:solidFill>
              <a:schemeClr val="bg1"/>
            </a:solidFill>
            <a:latin typeface="Calibri"/>
            <a:ea typeface="+mn-ea"/>
            <a:cs typeface="Calibri"/>
          </a:endParaRPr>
        </a:p>
      </xdr:txBody>
    </xdr:sp>
    <xdr:clientData/>
  </xdr:twoCellAnchor>
  <xdr:twoCellAnchor>
    <xdr:from>
      <xdr:col>12</xdr:col>
      <xdr:colOff>433489</xdr:colOff>
      <xdr:row>185</xdr:row>
      <xdr:rowOff>141949</xdr:rowOff>
    </xdr:from>
    <xdr:to>
      <xdr:col>42</xdr:col>
      <xdr:colOff>38100</xdr:colOff>
      <xdr:row>208</xdr:row>
      <xdr:rowOff>153693</xdr:rowOff>
    </xdr:to>
    <xdr:sp macro="" textlink="">
      <xdr:nvSpPr>
        <xdr:cNvPr id="25" name="Rectangle: Rounded Corners 24">
          <a:extLst>
            <a:ext uri="{FF2B5EF4-FFF2-40B4-BE49-F238E27FC236}">
              <a16:creationId xmlns:a16="http://schemas.microsoft.com/office/drawing/2014/main" id="{453F574D-C655-43C7-B417-4DA883F552B7}"/>
            </a:ext>
          </a:extLst>
        </xdr:cNvPr>
        <xdr:cNvSpPr/>
      </xdr:nvSpPr>
      <xdr:spPr>
        <a:xfrm>
          <a:off x="14454289" y="42623449"/>
          <a:ext cx="17892611" cy="4393244"/>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800" b="1" i="0" u="none" strike="noStrike">
            <a:solidFill>
              <a:schemeClr val="bg1"/>
            </a:solidFill>
            <a:latin typeface="Calibri"/>
            <a:ea typeface="+mn-ea"/>
            <a:cs typeface="Calibri"/>
          </a:endParaRPr>
        </a:p>
      </xdr:txBody>
    </xdr:sp>
    <xdr:clientData/>
  </xdr:twoCellAnchor>
  <xdr:twoCellAnchor>
    <xdr:from>
      <xdr:col>13</xdr:col>
      <xdr:colOff>575846</xdr:colOff>
      <xdr:row>189</xdr:row>
      <xdr:rowOff>57831</xdr:rowOff>
    </xdr:from>
    <xdr:to>
      <xdr:col>40</xdr:col>
      <xdr:colOff>576961</xdr:colOff>
      <xdr:row>208</xdr:row>
      <xdr:rowOff>42733</xdr:rowOff>
    </xdr:to>
    <xdr:graphicFrame macro="">
      <xdr:nvGraphicFramePr>
        <xdr:cNvPr id="26" name="Chart 25">
          <a:extLst>
            <a:ext uri="{FF2B5EF4-FFF2-40B4-BE49-F238E27FC236}">
              <a16:creationId xmlns:a16="http://schemas.microsoft.com/office/drawing/2014/main" id="{229359B8-A5B9-4460-9DF2-BDA733251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19</xdr:col>
      <xdr:colOff>488829</xdr:colOff>
      <xdr:row>186</xdr:row>
      <xdr:rowOff>98852</xdr:rowOff>
    </xdr:from>
    <xdr:to>
      <xdr:col>38</xdr:col>
      <xdr:colOff>502552</xdr:colOff>
      <xdr:row>189</xdr:row>
      <xdr:rowOff>64804</xdr:rowOff>
    </xdr:to>
    <xdr:sp macro="" textlink="">
      <xdr:nvSpPr>
        <xdr:cNvPr id="27" name="TextBox 26">
          <a:extLst>
            <a:ext uri="{FF2B5EF4-FFF2-40B4-BE49-F238E27FC236}">
              <a16:creationId xmlns:a16="http://schemas.microsoft.com/office/drawing/2014/main" id="{0EA878CF-797D-4988-B8DD-1DFCBECA2EED}"/>
            </a:ext>
          </a:extLst>
        </xdr:cNvPr>
        <xdr:cNvSpPr txBox="1"/>
      </xdr:nvSpPr>
      <xdr:spPr>
        <a:xfrm>
          <a:off x="18776829" y="42770852"/>
          <a:ext cx="11596123" cy="537452"/>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Total sales per month</a:t>
          </a:r>
        </a:p>
      </xdr:txBody>
    </xdr:sp>
    <xdr:clientData/>
  </xdr:twoCellAnchor>
  <xdr:twoCellAnchor>
    <xdr:from>
      <xdr:col>43</xdr:col>
      <xdr:colOff>114445</xdr:colOff>
      <xdr:row>137</xdr:row>
      <xdr:rowOff>71437</xdr:rowOff>
    </xdr:from>
    <xdr:to>
      <xdr:col>53</xdr:col>
      <xdr:colOff>264474</xdr:colOff>
      <xdr:row>208</xdr:row>
      <xdr:rowOff>85326</xdr:rowOff>
    </xdr:to>
    <xdr:grpSp>
      <xdr:nvGrpSpPr>
        <xdr:cNvPr id="98" name="Group 97">
          <a:extLst>
            <a:ext uri="{FF2B5EF4-FFF2-40B4-BE49-F238E27FC236}">
              <a16:creationId xmlns:a16="http://schemas.microsoft.com/office/drawing/2014/main" id="{452F3219-D388-F0F4-153C-10869803E2EF}"/>
            </a:ext>
          </a:extLst>
        </xdr:cNvPr>
        <xdr:cNvGrpSpPr/>
      </xdr:nvGrpSpPr>
      <xdr:grpSpPr>
        <a:xfrm>
          <a:off x="24688945" y="26169937"/>
          <a:ext cx="5865029" cy="13539389"/>
          <a:chOff x="28003645" y="36512090"/>
          <a:chExt cx="6246029" cy="10541011"/>
        </a:xfrm>
      </xdr:grpSpPr>
      <xdr:sp macro="" textlink="">
        <xdr:nvSpPr>
          <xdr:cNvPr id="28" name="Rectangle: Rounded Corners 27">
            <a:extLst>
              <a:ext uri="{FF2B5EF4-FFF2-40B4-BE49-F238E27FC236}">
                <a16:creationId xmlns:a16="http://schemas.microsoft.com/office/drawing/2014/main" id="{DAFD6DD8-6466-429E-99B7-EFF380F5D136}"/>
              </a:ext>
            </a:extLst>
          </xdr:cNvPr>
          <xdr:cNvSpPr/>
        </xdr:nvSpPr>
        <xdr:spPr>
          <a:xfrm>
            <a:off x="28003645" y="36512090"/>
            <a:ext cx="6064819" cy="10541011"/>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800" b="1" i="0" u="none" strike="noStrike">
              <a:solidFill>
                <a:schemeClr val="bg1"/>
              </a:solidFill>
              <a:latin typeface="Calibri"/>
              <a:ea typeface="+mn-ea"/>
              <a:cs typeface="Calibri"/>
            </a:endParaRPr>
          </a:p>
        </xdr:txBody>
      </xdr:sp>
      <xdr:graphicFrame macro="">
        <xdr:nvGraphicFramePr>
          <xdr:cNvPr id="30" name="Chart 29">
            <a:extLst>
              <a:ext uri="{FF2B5EF4-FFF2-40B4-BE49-F238E27FC236}">
                <a16:creationId xmlns:a16="http://schemas.microsoft.com/office/drawing/2014/main" id="{016E4A9A-9586-4DA7-9569-E56AE472EDD1}"/>
              </a:ext>
            </a:extLst>
          </xdr:cNvPr>
          <xdr:cNvGraphicFramePr>
            <a:graphicFrameLocks/>
          </xdr:cNvGraphicFramePr>
        </xdr:nvGraphicFramePr>
        <xdr:xfrm>
          <a:off x="28149829" y="37032204"/>
          <a:ext cx="6099845" cy="9840588"/>
        </xdr:xfrm>
        <a:graphic>
          <a:graphicData uri="http://schemas.openxmlformats.org/drawingml/2006/chart">
            <c:chart xmlns:c="http://schemas.openxmlformats.org/drawingml/2006/chart" xmlns:r="http://schemas.openxmlformats.org/officeDocument/2006/relationships" r:id="rId25"/>
          </a:graphicData>
        </a:graphic>
      </xdr:graphicFrame>
    </xdr:grpSp>
    <xdr:clientData/>
  </xdr:twoCellAnchor>
  <xdr:twoCellAnchor>
    <xdr:from>
      <xdr:col>13</xdr:col>
      <xdr:colOff>292405</xdr:colOff>
      <xdr:row>139</xdr:row>
      <xdr:rowOff>166686</xdr:rowOff>
    </xdr:from>
    <xdr:to>
      <xdr:col>33</xdr:col>
      <xdr:colOff>381001</xdr:colOff>
      <xdr:row>158</xdr:row>
      <xdr:rowOff>129853</xdr:rowOff>
    </xdr:to>
    <xdr:graphicFrame macro="">
      <xdr:nvGraphicFramePr>
        <xdr:cNvPr id="63" name="Chart 62">
          <a:extLst>
            <a:ext uri="{FF2B5EF4-FFF2-40B4-BE49-F238E27FC236}">
              <a16:creationId xmlns:a16="http://schemas.microsoft.com/office/drawing/2014/main" id="{2DF28BCA-814C-476E-8C64-466B66273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30</xdr:col>
      <xdr:colOff>428626</xdr:colOff>
      <xdr:row>162</xdr:row>
      <xdr:rowOff>38100</xdr:rowOff>
    </xdr:from>
    <xdr:to>
      <xdr:col>41</xdr:col>
      <xdr:colOff>571501</xdr:colOff>
      <xdr:row>183</xdr:row>
      <xdr:rowOff>-1</xdr:rowOff>
    </xdr:to>
    <xdr:sp macro="" textlink="">
      <xdr:nvSpPr>
        <xdr:cNvPr id="52" name="Rectangle: Rounded Corners 51">
          <a:extLst>
            <a:ext uri="{FF2B5EF4-FFF2-40B4-BE49-F238E27FC236}">
              <a16:creationId xmlns:a16="http://schemas.microsoft.com/office/drawing/2014/main" id="{80E7D5F4-7EC7-4129-A0B7-DAC3C73BB23B}"/>
            </a:ext>
          </a:extLst>
        </xdr:cNvPr>
        <xdr:cNvSpPr/>
      </xdr:nvSpPr>
      <xdr:spPr>
        <a:xfrm>
          <a:off x="25812751" y="38138100"/>
          <a:ext cx="6953250" cy="3962399"/>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800" b="1" i="0" u="none" strike="noStrike">
            <a:solidFill>
              <a:schemeClr val="bg1"/>
            </a:solidFill>
            <a:latin typeface="Calibri"/>
            <a:ea typeface="+mn-ea"/>
            <a:cs typeface="Calibri"/>
          </a:endParaRPr>
        </a:p>
      </xdr:txBody>
    </xdr:sp>
    <xdr:clientData/>
  </xdr:twoCellAnchor>
  <xdr:twoCellAnchor>
    <xdr:from>
      <xdr:col>28</xdr:col>
      <xdr:colOff>309561</xdr:colOff>
      <xdr:row>162</xdr:row>
      <xdr:rowOff>95249</xdr:rowOff>
    </xdr:from>
    <xdr:to>
      <xdr:col>41</xdr:col>
      <xdr:colOff>476249</xdr:colOff>
      <xdr:row>182</xdr:row>
      <xdr:rowOff>142874</xdr:rowOff>
    </xdr:to>
    <xdr:graphicFrame macro="">
      <xdr:nvGraphicFramePr>
        <xdr:cNvPr id="64" name="Chart 63">
          <a:extLst>
            <a:ext uri="{FF2B5EF4-FFF2-40B4-BE49-F238E27FC236}">
              <a16:creationId xmlns:a16="http://schemas.microsoft.com/office/drawing/2014/main" id="{0BE72E47-1C20-4FD9-9A92-08BCA0C6B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34</xdr:col>
      <xdr:colOff>15812</xdr:colOff>
      <xdr:row>121</xdr:row>
      <xdr:rowOff>50307</xdr:rowOff>
    </xdr:from>
    <xdr:to>
      <xdr:col>52</xdr:col>
      <xdr:colOff>491546</xdr:colOff>
      <xdr:row>133</xdr:row>
      <xdr:rowOff>0</xdr:rowOff>
    </xdr:to>
    <xdr:grpSp>
      <xdr:nvGrpSpPr>
        <xdr:cNvPr id="87" name="Group 86">
          <a:extLst>
            <a:ext uri="{FF2B5EF4-FFF2-40B4-BE49-F238E27FC236}">
              <a16:creationId xmlns:a16="http://schemas.microsoft.com/office/drawing/2014/main" id="{2B969306-BD79-7D08-BD17-BF5DE5ACD258}"/>
            </a:ext>
          </a:extLst>
        </xdr:cNvPr>
        <xdr:cNvGrpSpPr/>
      </xdr:nvGrpSpPr>
      <xdr:grpSpPr>
        <a:xfrm>
          <a:off x="19446812" y="23100807"/>
          <a:ext cx="10762734" cy="2235693"/>
          <a:chOff x="14874812" y="35254707"/>
          <a:chExt cx="11448534" cy="2235693"/>
        </a:xfrm>
      </xdr:grpSpPr>
      <xdr:sp macro="" textlink="'Pivot Tables'!V10">
        <xdr:nvSpPr>
          <xdr:cNvPr id="56" name="Rectangle: Rounded Corners 55">
            <a:extLst>
              <a:ext uri="{FF2B5EF4-FFF2-40B4-BE49-F238E27FC236}">
                <a16:creationId xmlns:a16="http://schemas.microsoft.com/office/drawing/2014/main" id="{AAB4CE9F-906F-41FC-9161-62CA1507169D}"/>
              </a:ext>
            </a:extLst>
          </xdr:cNvPr>
          <xdr:cNvSpPr/>
        </xdr:nvSpPr>
        <xdr:spPr>
          <a:xfrm>
            <a:off x="21249348" y="35254707"/>
            <a:ext cx="5073998" cy="2235693"/>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800" b="1" i="0" u="none" strike="noStrike">
              <a:solidFill>
                <a:schemeClr val="bg1"/>
              </a:solidFill>
              <a:latin typeface="Calibri"/>
              <a:ea typeface="+mn-ea"/>
              <a:cs typeface="Calibri"/>
            </a:endParaRPr>
          </a:p>
          <a:p>
            <a:pPr marL="0" indent="0" algn="ctr"/>
            <a:r>
              <a:rPr lang="en-US" sz="2800" b="1" i="0" u="none" strike="noStrike">
                <a:solidFill>
                  <a:schemeClr val="bg1"/>
                </a:solidFill>
                <a:latin typeface="Calibri"/>
                <a:ea typeface="+mn-ea"/>
                <a:cs typeface="Calibri"/>
              </a:rPr>
              <a:t>    </a:t>
            </a:r>
            <a:fld id="{9A21DA98-E4A4-46F0-8F34-ADE6E189AAE6}" type="TxLink">
              <a:rPr lang="en-US" sz="2800" b="1" i="0" u="none" strike="noStrike">
                <a:solidFill>
                  <a:schemeClr val="bg1"/>
                </a:solidFill>
                <a:latin typeface="Calibri"/>
                <a:ea typeface="+mn-ea"/>
                <a:cs typeface="Calibri"/>
              </a:rPr>
              <a:pPr marL="0" indent="0" algn="ctr"/>
              <a:t>203,538,699</a:t>
            </a:fld>
            <a:endParaRPr lang="en-US" sz="2800" b="1" i="0" u="none" strike="noStrike">
              <a:solidFill>
                <a:schemeClr val="bg1"/>
              </a:solidFill>
              <a:latin typeface="Calibri"/>
              <a:ea typeface="+mn-ea"/>
              <a:cs typeface="Calibri"/>
            </a:endParaRPr>
          </a:p>
        </xdr:txBody>
      </xdr:sp>
      <xdr:sp macro="" textlink="'Pivot Tables'!V8">
        <xdr:nvSpPr>
          <xdr:cNvPr id="60" name="Rectangle: Rounded Corners 59">
            <a:extLst>
              <a:ext uri="{FF2B5EF4-FFF2-40B4-BE49-F238E27FC236}">
                <a16:creationId xmlns:a16="http://schemas.microsoft.com/office/drawing/2014/main" id="{0F0369C8-DF12-47D0-8972-CB33476E800D}"/>
              </a:ext>
            </a:extLst>
          </xdr:cNvPr>
          <xdr:cNvSpPr/>
        </xdr:nvSpPr>
        <xdr:spPr>
          <a:xfrm>
            <a:off x="14874812" y="35274212"/>
            <a:ext cx="5071876" cy="2181019"/>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800" b="1" i="0" u="none" strike="noStrike">
              <a:solidFill>
                <a:schemeClr val="bg1"/>
              </a:solidFill>
              <a:latin typeface="Calibri"/>
              <a:ea typeface="+mn-ea"/>
              <a:cs typeface="Calibri"/>
            </a:endParaRPr>
          </a:p>
          <a:p>
            <a:pPr marL="0" indent="0" algn="ctr"/>
            <a:r>
              <a:rPr lang="en-US" sz="2800" b="1" i="0" u="none" strike="noStrike">
                <a:solidFill>
                  <a:schemeClr val="bg1"/>
                </a:solidFill>
                <a:latin typeface="Calibri"/>
                <a:ea typeface="+mn-ea"/>
                <a:cs typeface="Calibri"/>
              </a:rPr>
              <a:t>   </a:t>
            </a:r>
            <a:fld id="{B70594A8-6BBC-4B58-B3FF-CE574FBABA60}" type="TxLink">
              <a:rPr lang="en-US" sz="2800" b="1" i="0" u="none" strike="noStrike">
                <a:solidFill>
                  <a:schemeClr val="bg1"/>
                </a:solidFill>
                <a:latin typeface="Calibri"/>
                <a:ea typeface="+mn-ea"/>
                <a:cs typeface="Calibri"/>
              </a:rPr>
              <a:pPr marL="0" indent="0" algn="ctr"/>
              <a:t>6</a:t>
            </a:fld>
            <a:endParaRPr lang="en-US" sz="2800" b="1" i="0" u="none" strike="noStrike">
              <a:solidFill>
                <a:schemeClr val="bg1"/>
              </a:solidFill>
              <a:latin typeface="Calibri"/>
              <a:ea typeface="+mn-ea"/>
              <a:cs typeface="Calibri"/>
            </a:endParaRPr>
          </a:p>
        </xdr:txBody>
      </xdr:sp>
      <xdr:sp macro="" textlink="">
        <xdr:nvSpPr>
          <xdr:cNvPr id="71" name="TextBox 70">
            <a:extLst>
              <a:ext uri="{FF2B5EF4-FFF2-40B4-BE49-F238E27FC236}">
                <a16:creationId xmlns:a16="http://schemas.microsoft.com/office/drawing/2014/main" id="{96470DD8-9437-45AB-964A-C2D7ADEB9B5D}"/>
              </a:ext>
            </a:extLst>
          </xdr:cNvPr>
          <xdr:cNvSpPr txBox="1"/>
        </xdr:nvSpPr>
        <xdr:spPr>
          <a:xfrm>
            <a:off x="16661322" y="36576708"/>
            <a:ext cx="2920917" cy="50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No.rigion</a:t>
            </a:r>
          </a:p>
        </xdr:txBody>
      </xdr:sp>
      <xdr:sp macro="" textlink="">
        <xdr:nvSpPr>
          <xdr:cNvPr id="72" name="TextBox 71">
            <a:extLst>
              <a:ext uri="{FF2B5EF4-FFF2-40B4-BE49-F238E27FC236}">
                <a16:creationId xmlns:a16="http://schemas.microsoft.com/office/drawing/2014/main" id="{25D7F37A-91E1-4966-86F3-DB81B368F506}"/>
              </a:ext>
            </a:extLst>
          </xdr:cNvPr>
          <xdr:cNvSpPr txBox="1"/>
        </xdr:nvSpPr>
        <xdr:spPr>
          <a:xfrm>
            <a:off x="22940934" y="36663395"/>
            <a:ext cx="2838003" cy="50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Total sales</a:t>
            </a:r>
          </a:p>
        </xdr:txBody>
      </xdr:sp>
      <xdr:pic>
        <xdr:nvPicPr>
          <xdr:cNvPr id="74" name="Graphic 73" descr="Clipboard All Crosses with solid fill">
            <a:extLst>
              <a:ext uri="{FF2B5EF4-FFF2-40B4-BE49-F238E27FC236}">
                <a16:creationId xmlns:a16="http://schemas.microsoft.com/office/drawing/2014/main" id="{2444F8F7-5512-4F63-9DF7-E4527EB20BE1}"/>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21315219" y="35536479"/>
            <a:ext cx="1410476" cy="1437839"/>
          </a:xfrm>
          <a:prstGeom prst="rect">
            <a:avLst/>
          </a:prstGeom>
        </xdr:spPr>
      </xdr:pic>
      <xdr:pic>
        <xdr:nvPicPr>
          <xdr:cNvPr id="77" name="Graphic 76" descr="North America with solid fill">
            <a:extLst>
              <a:ext uri="{FF2B5EF4-FFF2-40B4-BE49-F238E27FC236}">
                <a16:creationId xmlns:a16="http://schemas.microsoft.com/office/drawing/2014/main" id="{1796DF1A-B0EE-480F-914D-805C53401417}"/>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5207774" y="35537038"/>
            <a:ext cx="1620932" cy="1541189"/>
          </a:xfrm>
          <a:prstGeom prst="rect">
            <a:avLst/>
          </a:prstGeom>
        </xdr:spPr>
      </xdr:pic>
    </xdr:grpSp>
    <xdr:clientData/>
  </xdr:twoCellAnchor>
  <xdr:twoCellAnchor>
    <xdr:from>
      <xdr:col>13</xdr:col>
      <xdr:colOff>329346</xdr:colOff>
      <xdr:row>121</xdr:row>
      <xdr:rowOff>18007</xdr:rowOff>
    </xdr:from>
    <xdr:to>
      <xdr:col>32</xdr:col>
      <xdr:colOff>187261</xdr:colOff>
      <xdr:row>132</xdr:row>
      <xdr:rowOff>113928</xdr:rowOff>
    </xdr:to>
    <xdr:grpSp>
      <xdr:nvGrpSpPr>
        <xdr:cNvPr id="85" name="Group 84">
          <a:extLst>
            <a:ext uri="{FF2B5EF4-FFF2-40B4-BE49-F238E27FC236}">
              <a16:creationId xmlns:a16="http://schemas.microsoft.com/office/drawing/2014/main" id="{859E5BA7-7C4A-1B56-0BED-04B30B57F486}"/>
            </a:ext>
          </a:extLst>
        </xdr:cNvPr>
        <xdr:cNvGrpSpPr/>
      </xdr:nvGrpSpPr>
      <xdr:grpSpPr>
        <a:xfrm>
          <a:off x="7758846" y="23068507"/>
          <a:ext cx="10716415" cy="2191421"/>
          <a:chOff x="14921646" y="32250607"/>
          <a:chExt cx="11440315" cy="2191421"/>
        </a:xfrm>
      </xdr:grpSpPr>
      <xdr:sp macro="" textlink="'Pivot Tables'!$U$3">
        <xdr:nvSpPr>
          <xdr:cNvPr id="54" name="Rectangle: Rounded Corners 53">
            <a:extLst>
              <a:ext uri="{FF2B5EF4-FFF2-40B4-BE49-F238E27FC236}">
                <a16:creationId xmlns:a16="http://schemas.microsoft.com/office/drawing/2014/main" id="{3D0A5411-DB21-4D87-B7D9-B7944E23C9C9}"/>
              </a:ext>
            </a:extLst>
          </xdr:cNvPr>
          <xdr:cNvSpPr/>
        </xdr:nvSpPr>
        <xdr:spPr>
          <a:xfrm>
            <a:off x="14921646" y="32250607"/>
            <a:ext cx="5072200" cy="2181019"/>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800" b="1" i="0" u="none" strike="noStrike">
              <a:solidFill>
                <a:schemeClr val="bg1"/>
              </a:solidFill>
              <a:latin typeface="Calibri"/>
              <a:cs typeface="Calibri"/>
            </a:endParaRPr>
          </a:p>
          <a:p>
            <a:pPr algn="ctr"/>
            <a:r>
              <a:rPr lang="en-US" sz="2800" b="1" i="0" u="none" strike="noStrike">
                <a:solidFill>
                  <a:schemeClr val="bg1"/>
                </a:solidFill>
                <a:latin typeface="Calibri"/>
                <a:cs typeface="Calibri"/>
              </a:rPr>
              <a:t>    </a:t>
            </a:r>
            <a:r>
              <a:rPr lang="en-US" sz="2800" b="1" i="0" u="none" strike="noStrike" baseline="0">
                <a:solidFill>
                  <a:schemeClr val="bg1"/>
                </a:solidFill>
                <a:latin typeface="Calibri"/>
                <a:cs typeface="Calibri"/>
              </a:rPr>
              <a:t>           </a:t>
            </a:r>
            <a:fld id="{0AA4DE66-5A1A-4476-8E99-424D50CF5F64}" type="TxLink">
              <a:rPr lang="en-US" sz="2800" b="1" i="0" u="none" strike="noStrike">
                <a:solidFill>
                  <a:schemeClr val="bg1"/>
                </a:solidFill>
                <a:latin typeface="Calibri"/>
                <a:cs typeface="Calibri"/>
              </a:rPr>
              <a:pPr algn="ctr"/>
              <a:t>10</a:t>
            </a:fld>
            <a:endParaRPr lang="en-US" sz="2800" b="1">
              <a:solidFill>
                <a:schemeClr val="bg1"/>
              </a:solidFill>
            </a:endParaRPr>
          </a:p>
        </xdr:txBody>
      </xdr:sp>
      <xdr:sp macro="" textlink="'Pivot Tables'!V6">
        <xdr:nvSpPr>
          <xdr:cNvPr id="62" name="Rectangle: Rounded Corners 61">
            <a:extLst>
              <a:ext uri="{FF2B5EF4-FFF2-40B4-BE49-F238E27FC236}">
                <a16:creationId xmlns:a16="http://schemas.microsoft.com/office/drawing/2014/main" id="{AA75E469-8E3D-4DC2-B5FF-43E63B4CFDBA}"/>
              </a:ext>
            </a:extLst>
          </xdr:cNvPr>
          <xdr:cNvSpPr/>
        </xdr:nvSpPr>
        <xdr:spPr>
          <a:xfrm>
            <a:off x="21286298" y="32261009"/>
            <a:ext cx="5075663" cy="2181019"/>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800" b="1" i="0" u="none" strike="noStrike">
              <a:solidFill>
                <a:schemeClr val="bg1"/>
              </a:solidFill>
              <a:latin typeface="Calibri"/>
              <a:ea typeface="+mn-ea"/>
              <a:cs typeface="Calibri"/>
            </a:endParaRPr>
          </a:p>
          <a:p>
            <a:pPr marL="0" indent="0" algn="ctr"/>
            <a:r>
              <a:rPr lang="en-US" sz="2800" b="1" i="0" u="none" strike="noStrike">
                <a:solidFill>
                  <a:schemeClr val="bg1"/>
                </a:solidFill>
                <a:latin typeface="Calibri"/>
                <a:ea typeface="+mn-ea"/>
                <a:cs typeface="Calibri"/>
              </a:rPr>
              <a:t>       </a:t>
            </a:r>
            <a:fld id="{10AA8D85-9083-49BD-98BF-B7321169E9D2}" type="TxLink">
              <a:rPr lang="en-US" sz="2800" b="1" i="0" u="none" strike="noStrike">
                <a:solidFill>
                  <a:schemeClr val="bg1"/>
                </a:solidFill>
                <a:latin typeface="Calibri"/>
                <a:ea typeface="+mn-ea"/>
                <a:cs typeface="Calibri"/>
              </a:rPr>
              <a:pPr marL="0" indent="0" algn="ctr"/>
              <a:t>22</a:t>
            </a:fld>
            <a:endParaRPr lang="en-US" sz="2800" b="1" i="0" u="none" strike="noStrike">
              <a:solidFill>
                <a:schemeClr val="bg1"/>
              </a:solidFill>
              <a:latin typeface="Calibri"/>
              <a:ea typeface="+mn-ea"/>
              <a:cs typeface="Calibri"/>
            </a:endParaRPr>
          </a:p>
        </xdr:txBody>
      </xdr:sp>
      <xdr:sp macro="" textlink="">
        <xdr:nvSpPr>
          <xdr:cNvPr id="65" name="TextBox 64">
            <a:extLst>
              <a:ext uri="{FF2B5EF4-FFF2-40B4-BE49-F238E27FC236}">
                <a16:creationId xmlns:a16="http://schemas.microsoft.com/office/drawing/2014/main" id="{90977739-3AF4-449B-8B6E-BBAC810A3A17}"/>
              </a:ext>
            </a:extLst>
          </xdr:cNvPr>
          <xdr:cNvSpPr txBox="1"/>
        </xdr:nvSpPr>
        <xdr:spPr>
          <a:xfrm>
            <a:off x="15965132" y="33681208"/>
            <a:ext cx="4047017" cy="50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No. Sales Person</a:t>
            </a:r>
          </a:p>
        </xdr:txBody>
      </xdr:sp>
      <xdr:pic>
        <xdr:nvPicPr>
          <xdr:cNvPr id="69" name="Graphic 68" descr="Children outline">
            <a:extLst>
              <a:ext uri="{FF2B5EF4-FFF2-40B4-BE49-F238E27FC236}">
                <a16:creationId xmlns:a16="http://schemas.microsoft.com/office/drawing/2014/main" id="{D12142E5-9CA4-4C73-8202-5B5A1BAE79A6}"/>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5117050" y="32346432"/>
            <a:ext cx="1617237" cy="1438987"/>
          </a:xfrm>
          <a:prstGeom prst="rect">
            <a:avLst/>
          </a:prstGeom>
        </xdr:spPr>
      </xdr:pic>
      <xdr:sp macro="" textlink="">
        <xdr:nvSpPr>
          <xdr:cNvPr id="70" name="TextBox 69">
            <a:extLst>
              <a:ext uri="{FF2B5EF4-FFF2-40B4-BE49-F238E27FC236}">
                <a16:creationId xmlns:a16="http://schemas.microsoft.com/office/drawing/2014/main" id="{1D8263AC-A469-48F4-AB0E-36B4940CDD71}"/>
              </a:ext>
            </a:extLst>
          </xdr:cNvPr>
          <xdr:cNvSpPr txBox="1"/>
        </xdr:nvSpPr>
        <xdr:spPr>
          <a:xfrm>
            <a:off x="22867971" y="33594711"/>
            <a:ext cx="2706854" cy="45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No.Product</a:t>
            </a:r>
          </a:p>
        </xdr:txBody>
      </xdr:sp>
      <xdr:pic>
        <xdr:nvPicPr>
          <xdr:cNvPr id="79" name="Graphic 78" descr="Shopping cart with solid fill">
            <a:extLst>
              <a:ext uri="{FF2B5EF4-FFF2-40B4-BE49-F238E27FC236}">
                <a16:creationId xmlns:a16="http://schemas.microsoft.com/office/drawing/2014/main" id="{E57D5DA3-7A40-464A-B379-ECCA0FC9C300}"/>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21473951" y="32676662"/>
            <a:ext cx="1216124" cy="1165059"/>
          </a:xfrm>
          <a:prstGeom prst="rect">
            <a:avLst/>
          </a:prstGeom>
        </xdr:spPr>
      </xdr:pic>
    </xdr:grpSp>
    <xdr:clientData/>
  </xdr:twoCellAnchor>
  <xdr:twoCellAnchor>
    <xdr:from>
      <xdr:col>6</xdr:col>
      <xdr:colOff>440531</xdr:colOff>
      <xdr:row>163</xdr:row>
      <xdr:rowOff>35719</xdr:rowOff>
    </xdr:from>
    <xdr:to>
      <xdr:col>31</xdr:col>
      <xdr:colOff>226218</xdr:colOff>
      <xdr:row>182</xdr:row>
      <xdr:rowOff>35717</xdr:rowOff>
    </xdr:to>
    <xdr:graphicFrame macro="">
      <xdr:nvGraphicFramePr>
        <xdr:cNvPr id="83" name="Chart 82">
          <a:extLst>
            <a:ext uri="{FF2B5EF4-FFF2-40B4-BE49-F238E27FC236}">
              <a16:creationId xmlns:a16="http://schemas.microsoft.com/office/drawing/2014/main" id="{729C254B-2E0D-4650-8AE5-6B0AE74D8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35</xdr:col>
      <xdr:colOff>190500</xdr:colOff>
      <xdr:row>137</xdr:row>
      <xdr:rowOff>142876</xdr:rowOff>
    </xdr:from>
    <xdr:to>
      <xdr:col>41</xdr:col>
      <xdr:colOff>571500</xdr:colOff>
      <xdr:row>159</xdr:row>
      <xdr:rowOff>114300</xdr:rowOff>
    </xdr:to>
    <xdr:sp macro="" textlink="">
      <xdr:nvSpPr>
        <xdr:cNvPr id="99" name="Rectangle: Rounded Corners 98">
          <a:extLst>
            <a:ext uri="{FF2B5EF4-FFF2-40B4-BE49-F238E27FC236}">
              <a16:creationId xmlns:a16="http://schemas.microsoft.com/office/drawing/2014/main" id="{A6A8E654-FEA7-BDF0-E9F1-57A8F472E061}"/>
            </a:ext>
          </a:extLst>
        </xdr:cNvPr>
        <xdr:cNvSpPr/>
      </xdr:nvSpPr>
      <xdr:spPr>
        <a:xfrm>
          <a:off x="28670250" y="33480376"/>
          <a:ext cx="4095750" cy="4162424"/>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800" b="1" i="0" u="none" strike="noStrike">
            <a:solidFill>
              <a:schemeClr val="bg1"/>
            </a:solidFill>
            <a:latin typeface="Calibri"/>
            <a:ea typeface="+mn-ea"/>
            <a:cs typeface="Calibri"/>
          </a:endParaRPr>
        </a:p>
      </xdr:txBody>
    </xdr:sp>
    <xdr:clientData/>
  </xdr:twoCellAnchor>
  <xdr:twoCellAnchor editAs="oneCell">
    <xdr:from>
      <xdr:col>36</xdr:col>
      <xdr:colOff>119062</xdr:colOff>
      <xdr:row>139</xdr:row>
      <xdr:rowOff>23812</xdr:rowOff>
    </xdr:from>
    <xdr:to>
      <xdr:col>41</xdr:col>
      <xdr:colOff>142873</xdr:colOff>
      <xdr:row>158</xdr:row>
      <xdr:rowOff>95250</xdr:rowOff>
    </xdr:to>
    <mc:AlternateContent xmlns:mc="http://schemas.openxmlformats.org/markup-compatibility/2006">
      <mc:Choice xmlns:a14="http://schemas.microsoft.com/office/drawing/2010/main" Requires="a14">
        <xdr:graphicFrame macro="">
          <xdr:nvGraphicFramePr>
            <xdr:cNvPr id="102" name="Product 1">
              <a:extLst>
                <a:ext uri="{FF2B5EF4-FFF2-40B4-BE49-F238E27FC236}">
                  <a16:creationId xmlns:a16="http://schemas.microsoft.com/office/drawing/2014/main" id="{411E4A3E-23EA-4353-B815-6BDFA02C1AE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0693062" y="26503312"/>
              <a:ext cx="2881311" cy="3690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109</xdr:col>
      <xdr:colOff>480684</xdr:colOff>
      <xdr:row>126</xdr:row>
      <xdr:rowOff>129150</xdr:rowOff>
    </xdr:from>
    <xdr:to>
      <xdr:col>124</xdr:col>
      <xdr:colOff>225137</xdr:colOff>
      <xdr:row>132</xdr:row>
      <xdr:rowOff>37517</xdr:rowOff>
    </xdr:to>
    <xdr:sp macro="" textlink="">
      <xdr:nvSpPr>
        <xdr:cNvPr id="140" name="TextBox 139">
          <a:extLst>
            <a:ext uri="{FF2B5EF4-FFF2-40B4-BE49-F238E27FC236}">
              <a16:creationId xmlns:a16="http://schemas.microsoft.com/office/drawing/2014/main" id="{BF240EB6-C183-72E8-95DF-CAC895A2C9D5}"/>
            </a:ext>
          </a:extLst>
        </xdr:cNvPr>
        <xdr:cNvSpPr txBox="1"/>
      </xdr:nvSpPr>
      <xdr:spPr>
        <a:xfrm>
          <a:off x="46200684" y="25465650"/>
          <a:ext cx="8316953" cy="1051367"/>
        </a:xfrm>
        <a:prstGeom prst="rect">
          <a:avLst/>
        </a:prstGeom>
        <a:noFill/>
        <a:ln w="381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DashBoard Per Less Sales Product </a:t>
          </a:r>
        </a:p>
      </xdr:txBody>
    </xdr:sp>
    <xdr:clientData/>
  </xdr:twoCellAnchor>
  <xdr:twoCellAnchor>
    <xdr:from>
      <xdr:col>97</xdr:col>
      <xdr:colOff>280947</xdr:colOff>
      <xdr:row>186</xdr:row>
      <xdr:rowOff>44186</xdr:rowOff>
    </xdr:from>
    <xdr:to>
      <xdr:col>116</xdr:col>
      <xdr:colOff>0</xdr:colOff>
      <xdr:row>212</xdr:row>
      <xdr:rowOff>78088</xdr:rowOff>
    </xdr:to>
    <xdr:grpSp>
      <xdr:nvGrpSpPr>
        <xdr:cNvPr id="141" name="Group 140">
          <a:extLst>
            <a:ext uri="{FF2B5EF4-FFF2-40B4-BE49-F238E27FC236}">
              <a16:creationId xmlns:a16="http://schemas.microsoft.com/office/drawing/2014/main" id="{36D5511A-DC14-88E5-8CF2-4E0782063784}"/>
            </a:ext>
          </a:extLst>
        </xdr:cNvPr>
        <xdr:cNvGrpSpPr/>
      </xdr:nvGrpSpPr>
      <xdr:grpSpPr>
        <a:xfrm>
          <a:off x="55716447" y="35477186"/>
          <a:ext cx="10577553" cy="4986902"/>
          <a:chOff x="18876625" y="5931476"/>
          <a:chExt cx="7472988" cy="4585719"/>
        </a:xfrm>
      </xdr:grpSpPr>
      <xdr:sp macro="" textlink="">
        <xdr:nvSpPr>
          <xdr:cNvPr id="160" name="Rectangle: Rounded Corners 159">
            <a:extLst>
              <a:ext uri="{FF2B5EF4-FFF2-40B4-BE49-F238E27FC236}">
                <a16:creationId xmlns:a16="http://schemas.microsoft.com/office/drawing/2014/main" id="{784FF624-2883-3CAE-7D72-5B3254C9C443}"/>
              </a:ext>
            </a:extLst>
          </xdr:cNvPr>
          <xdr:cNvSpPr/>
        </xdr:nvSpPr>
        <xdr:spPr>
          <a:xfrm>
            <a:off x="18876625" y="5931476"/>
            <a:ext cx="7472988" cy="4585719"/>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800" b="1" i="0" u="none" strike="noStrike">
              <a:solidFill>
                <a:schemeClr val="bg1"/>
              </a:solidFill>
              <a:latin typeface="Calibri"/>
              <a:ea typeface="+mn-ea"/>
              <a:cs typeface="Calibri"/>
            </a:endParaRPr>
          </a:p>
        </xdr:txBody>
      </xdr:sp>
      <xdr:graphicFrame macro="">
        <xdr:nvGraphicFramePr>
          <xdr:cNvPr id="161" name="Chart 160">
            <a:extLst>
              <a:ext uri="{FF2B5EF4-FFF2-40B4-BE49-F238E27FC236}">
                <a16:creationId xmlns:a16="http://schemas.microsoft.com/office/drawing/2014/main" id="{4F6C2BF3-46F3-6B7E-49BE-7250B15A6C94}"/>
              </a:ext>
            </a:extLst>
          </xdr:cNvPr>
          <xdr:cNvGraphicFramePr>
            <a:graphicFrameLocks/>
          </xdr:cNvGraphicFramePr>
        </xdr:nvGraphicFramePr>
        <xdr:xfrm>
          <a:off x="19058264" y="6355773"/>
          <a:ext cx="7081830" cy="3652416"/>
        </xdr:xfrm>
        <a:graphic>
          <a:graphicData uri="http://schemas.openxmlformats.org/drawingml/2006/chart">
            <c:chart xmlns:c="http://schemas.openxmlformats.org/drawingml/2006/chart" xmlns:r="http://schemas.openxmlformats.org/officeDocument/2006/relationships" r:id="rId37"/>
          </a:graphicData>
        </a:graphic>
      </xdr:graphicFrame>
    </xdr:grpSp>
    <xdr:clientData/>
  </xdr:twoCellAnchor>
  <xdr:twoCellAnchor>
    <xdr:from>
      <xdr:col>97</xdr:col>
      <xdr:colOff>47625</xdr:colOff>
      <xdr:row>215</xdr:row>
      <xdr:rowOff>175270</xdr:rowOff>
    </xdr:from>
    <xdr:to>
      <xdr:col>134</xdr:col>
      <xdr:colOff>571500</xdr:colOff>
      <xdr:row>248</xdr:row>
      <xdr:rowOff>142875</xdr:rowOff>
    </xdr:to>
    <xdr:grpSp>
      <xdr:nvGrpSpPr>
        <xdr:cNvPr id="142" name="Group 141">
          <a:extLst>
            <a:ext uri="{FF2B5EF4-FFF2-40B4-BE49-F238E27FC236}">
              <a16:creationId xmlns:a16="http://schemas.microsoft.com/office/drawing/2014/main" id="{B82DDAB1-1DE9-94F8-D6C2-ECD4CCE814D7}"/>
            </a:ext>
          </a:extLst>
        </xdr:cNvPr>
        <xdr:cNvGrpSpPr/>
      </xdr:nvGrpSpPr>
      <xdr:grpSpPr>
        <a:xfrm>
          <a:off x="55483125" y="41132770"/>
          <a:ext cx="21669375" cy="6254105"/>
          <a:chOff x="19486356" y="8860414"/>
          <a:chExt cx="9840438" cy="3238500"/>
        </a:xfrm>
      </xdr:grpSpPr>
      <xdr:sp macro="" textlink="">
        <xdr:nvSpPr>
          <xdr:cNvPr id="158" name="Rectangle: Rounded Corners 157">
            <a:extLst>
              <a:ext uri="{FF2B5EF4-FFF2-40B4-BE49-F238E27FC236}">
                <a16:creationId xmlns:a16="http://schemas.microsoft.com/office/drawing/2014/main" id="{A7D3F261-CCF1-52B6-EC43-96573F11C589}"/>
              </a:ext>
            </a:extLst>
          </xdr:cNvPr>
          <xdr:cNvSpPr/>
        </xdr:nvSpPr>
        <xdr:spPr>
          <a:xfrm>
            <a:off x="19486356" y="8860414"/>
            <a:ext cx="9840438" cy="3238500"/>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800" b="1" i="0" u="none" strike="noStrike">
              <a:solidFill>
                <a:schemeClr val="bg1"/>
              </a:solidFill>
              <a:latin typeface="Calibri"/>
              <a:ea typeface="+mn-ea"/>
              <a:cs typeface="Calibri"/>
            </a:endParaRPr>
          </a:p>
        </xdr:txBody>
      </xdr:sp>
      <xdr:graphicFrame macro="">
        <xdr:nvGraphicFramePr>
          <xdr:cNvPr id="159" name="Chart 158">
            <a:extLst>
              <a:ext uri="{FF2B5EF4-FFF2-40B4-BE49-F238E27FC236}">
                <a16:creationId xmlns:a16="http://schemas.microsoft.com/office/drawing/2014/main" id="{05134C40-4F0D-FC33-D73B-32293F137176}"/>
              </a:ext>
            </a:extLst>
          </xdr:cNvPr>
          <xdr:cNvGraphicFramePr>
            <a:graphicFrameLocks/>
          </xdr:cNvGraphicFramePr>
        </xdr:nvGraphicFramePr>
        <xdr:xfrm>
          <a:off x="20137956" y="9124560"/>
          <a:ext cx="8763545" cy="2700726"/>
        </xdr:xfrm>
        <a:graphic>
          <a:graphicData uri="http://schemas.openxmlformats.org/drawingml/2006/chart">
            <c:chart xmlns:c="http://schemas.openxmlformats.org/drawingml/2006/chart" xmlns:r="http://schemas.openxmlformats.org/officeDocument/2006/relationships" r:id="rId38"/>
          </a:graphicData>
        </a:graphic>
      </xdr:graphicFrame>
    </xdr:grpSp>
    <xdr:clientData/>
  </xdr:twoCellAnchor>
  <xdr:twoCellAnchor>
    <xdr:from>
      <xdr:col>97</xdr:col>
      <xdr:colOff>363254</xdr:colOff>
      <xdr:row>147</xdr:row>
      <xdr:rowOff>177436</xdr:rowOff>
    </xdr:from>
    <xdr:to>
      <xdr:col>115</xdr:col>
      <xdr:colOff>523875</xdr:colOff>
      <xdr:row>184</xdr:row>
      <xdr:rowOff>6846</xdr:rowOff>
    </xdr:to>
    <xdr:grpSp>
      <xdr:nvGrpSpPr>
        <xdr:cNvPr id="145" name="Group 144">
          <a:extLst>
            <a:ext uri="{FF2B5EF4-FFF2-40B4-BE49-F238E27FC236}">
              <a16:creationId xmlns:a16="http://schemas.microsoft.com/office/drawing/2014/main" id="{D72FE52A-4EEE-7B41-2768-560890F7517F}"/>
            </a:ext>
          </a:extLst>
        </xdr:cNvPr>
        <xdr:cNvGrpSpPr/>
      </xdr:nvGrpSpPr>
      <xdr:grpSpPr>
        <a:xfrm>
          <a:off x="55798754" y="28180936"/>
          <a:ext cx="10447621" cy="6877910"/>
          <a:chOff x="29969980" y="8893751"/>
          <a:chExt cx="7534707" cy="3238500"/>
        </a:xfrm>
      </xdr:grpSpPr>
      <xdr:sp macro="" textlink="">
        <xdr:nvSpPr>
          <xdr:cNvPr id="152" name="Rectangle: Rounded Corners 151">
            <a:extLst>
              <a:ext uri="{FF2B5EF4-FFF2-40B4-BE49-F238E27FC236}">
                <a16:creationId xmlns:a16="http://schemas.microsoft.com/office/drawing/2014/main" id="{CE50487C-BC45-BDBB-6893-9925627AF837}"/>
              </a:ext>
            </a:extLst>
          </xdr:cNvPr>
          <xdr:cNvSpPr/>
        </xdr:nvSpPr>
        <xdr:spPr>
          <a:xfrm>
            <a:off x="29969980" y="8893751"/>
            <a:ext cx="7534707" cy="3238500"/>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800" b="1" i="0" u="none" strike="noStrike">
              <a:solidFill>
                <a:schemeClr val="bg1"/>
              </a:solidFill>
              <a:latin typeface="Calibri"/>
              <a:ea typeface="+mn-ea"/>
              <a:cs typeface="Calibri"/>
            </a:endParaRPr>
          </a:p>
        </xdr:txBody>
      </xdr:sp>
      <xdr:graphicFrame macro="">
        <xdr:nvGraphicFramePr>
          <xdr:cNvPr id="153" name="Chart 152">
            <a:extLst>
              <a:ext uri="{FF2B5EF4-FFF2-40B4-BE49-F238E27FC236}">
                <a16:creationId xmlns:a16="http://schemas.microsoft.com/office/drawing/2014/main" id="{7ECB4C48-5F35-111A-C951-267B560C0368}"/>
              </a:ext>
            </a:extLst>
          </xdr:cNvPr>
          <xdr:cNvGraphicFramePr>
            <a:graphicFrameLocks/>
          </xdr:cNvGraphicFramePr>
        </xdr:nvGraphicFramePr>
        <xdr:xfrm>
          <a:off x="30418954" y="8954740"/>
          <a:ext cx="6728546" cy="2870548"/>
        </xdr:xfrm>
        <a:graphic>
          <a:graphicData uri="http://schemas.openxmlformats.org/drawingml/2006/chart">
            <c:chart xmlns:c="http://schemas.openxmlformats.org/drawingml/2006/chart" xmlns:r="http://schemas.openxmlformats.org/officeDocument/2006/relationships" r:id="rId39"/>
          </a:graphicData>
        </a:graphic>
      </xdr:graphicFrame>
    </xdr:grpSp>
    <xdr:clientData/>
  </xdr:twoCellAnchor>
  <xdr:twoCellAnchor>
    <xdr:from>
      <xdr:col>117</xdr:col>
      <xdr:colOff>185973</xdr:colOff>
      <xdr:row>186</xdr:row>
      <xdr:rowOff>132297</xdr:rowOff>
    </xdr:from>
    <xdr:to>
      <xdr:col>134</xdr:col>
      <xdr:colOff>421953</xdr:colOff>
      <xdr:row>213</xdr:row>
      <xdr:rowOff>0</xdr:rowOff>
    </xdr:to>
    <xdr:grpSp>
      <xdr:nvGrpSpPr>
        <xdr:cNvPr id="146" name="Group 145">
          <a:extLst>
            <a:ext uri="{FF2B5EF4-FFF2-40B4-BE49-F238E27FC236}">
              <a16:creationId xmlns:a16="http://schemas.microsoft.com/office/drawing/2014/main" id="{F7A141D3-9687-C503-2C44-FBA28C0BBB90}"/>
            </a:ext>
          </a:extLst>
        </xdr:cNvPr>
        <xdr:cNvGrpSpPr/>
      </xdr:nvGrpSpPr>
      <xdr:grpSpPr>
        <a:xfrm>
          <a:off x="67051473" y="35565297"/>
          <a:ext cx="9951480" cy="5011203"/>
          <a:chOff x="29973889" y="4503964"/>
          <a:chExt cx="7355078" cy="3780186"/>
        </a:xfrm>
      </xdr:grpSpPr>
      <xdr:sp macro="" textlink="">
        <xdr:nvSpPr>
          <xdr:cNvPr id="150" name="Rectangle: Rounded Corners 149">
            <a:extLst>
              <a:ext uri="{FF2B5EF4-FFF2-40B4-BE49-F238E27FC236}">
                <a16:creationId xmlns:a16="http://schemas.microsoft.com/office/drawing/2014/main" id="{55184D87-83AB-7CAF-A182-D961686802E6}"/>
              </a:ext>
            </a:extLst>
          </xdr:cNvPr>
          <xdr:cNvSpPr/>
        </xdr:nvSpPr>
        <xdr:spPr>
          <a:xfrm>
            <a:off x="29973889" y="4503964"/>
            <a:ext cx="7355078" cy="3780186"/>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800" b="1" i="0" u="none" strike="noStrike">
              <a:solidFill>
                <a:schemeClr val="bg1"/>
              </a:solidFill>
              <a:latin typeface="Calibri"/>
              <a:ea typeface="+mn-ea"/>
              <a:cs typeface="Calibri"/>
            </a:endParaRPr>
          </a:p>
        </xdr:txBody>
      </xdr:sp>
      <xdr:graphicFrame macro="">
        <xdr:nvGraphicFramePr>
          <xdr:cNvPr id="151" name="Chart 150">
            <a:extLst>
              <a:ext uri="{FF2B5EF4-FFF2-40B4-BE49-F238E27FC236}">
                <a16:creationId xmlns:a16="http://schemas.microsoft.com/office/drawing/2014/main" id="{02F456BC-36F0-2E45-0F75-2CFC9CE41157}"/>
              </a:ext>
            </a:extLst>
          </xdr:cNvPr>
          <xdr:cNvGraphicFramePr>
            <a:graphicFrameLocks/>
          </xdr:cNvGraphicFramePr>
        </xdr:nvGraphicFramePr>
        <xdr:xfrm>
          <a:off x="30288372" y="4762267"/>
          <a:ext cx="6604651" cy="3241879"/>
        </xdr:xfrm>
        <a:graphic>
          <a:graphicData uri="http://schemas.openxmlformats.org/drawingml/2006/chart">
            <c:chart xmlns:c="http://schemas.openxmlformats.org/drawingml/2006/chart" xmlns:r="http://schemas.openxmlformats.org/officeDocument/2006/relationships" r:id="rId40"/>
          </a:graphicData>
        </a:graphic>
      </xdr:graphicFrame>
    </xdr:grpSp>
    <xdr:clientData/>
  </xdr:twoCellAnchor>
  <xdr:twoCellAnchor>
    <xdr:from>
      <xdr:col>117</xdr:col>
      <xdr:colOff>428627</xdr:colOff>
      <xdr:row>148</xdr:row>
      <xdr:rowOff>142874</xdr:rowOff>
    </xdr:from>
    <xdr:to>
      <xdr:col>134</xdr:col>
      <xdr:colOff>1</xdr:colOff>
      <xdr:row>182</xdr:row>
      <xdr:rowOff>142875</xdr:rowOff>
    </xdr:to>
    <xdr:graphicFrame macro="">
      <xdr:nvGraphicFramePr>
        <xdr:cNvPr id="149" name="Chart 148">
          <a:extLst>
            <a:ext uri="{FF2B5EF4-FFF2-40B4-BE49-F238E27FC236}">
              <a16:creationId xmlns:a16="http://schemas.microsoft.com/office/drawing/2014/main" id="{34E6DDDD-8690-9A53-E8CE-C51C2CC97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108</xdr:col>
      <xdr:colOff>336392</xdr:colOff>
      <xdr:row>218</xdr:row>
      <xdr:rowOff>50222</xdr:rowOff>
    </xdr:from>
    <xdr:to>
      <xdr:col>122</xdr:col>
      <xdr:colOff>38100</xdr:colOff>
      <xdr:row>223</xdr:row>
      <xdr:rowOff>187902</xdr:rowOff>
    </xdr:to>
    <xdr:sp macro="" textlink="">
      <xdr:nvSpPr>
        <xdr:cNvPr id="138" name="TextBox 137">
          <a:extLst>
            <a:ext uri="{FF2B5EF4-FFF2-40B4-BE49-F238E27FC236}">
              <a16:creationId xmlns:a16="http://schemas.microsoft.com/office/drawing/2014/main" id="{B1C68B7E-0377-78B7-19D5-B5C508917E09}"/>
            </a:ext>
          </a:extLst>
        </xdr:cNvPr>
        <xdr:cNvSpPr txBox="1"/>
      </xdr:nvSpPr>
      <xdr:spPr>
        <a:xfrm>
          <a:off x="48494792" y="42912722"/>
          <a:ext cx="8236108" cy="1090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4800" b="1" i="0" u="none" strike="noStrike" kern="1200" baseline="0">
              <a:solidFill>
                <a:schemeClr val="accent5">
                  <a:lumMod val="20000"/>
                  <a:lumOff val="80000"/>
                </a:schemeClr>
              </a:solidFill>
              <a:latin typeface="+mn-lt"/>
              <a:ea typeface="+mn-ea"/>
              <a:cs typeface="+mn-cs"/>
            </a:rPr>
            <a:t>Spicy Special Slims</a:t>
          </a:r>
        </a:p>
        <a:p>
          <a:endParaRPr lang="en-US" sz="3200">
            <a:solidFill>
              <a:schemeClr val="accent5">
                <a:lumMod val="20000"/>
                <a:lumOff val="80000"/>
              </a:schemeClr>
            </a:solidFill>
          </a:endParaRPr>
        </a:p>
      </xdr:txBody>
    </xdr:sp>
    <xdr:clientData/>
  </xdr:twoCellAnchor>
  <xdr:twoCellAnchor>
    <xdr:from>
      <xdr:col>98</xdr:col>
      <xdr:colOff>195997</xdr:colOff>
      <xdr:row>133</xdr:row>
      <xdr:rowOff>0</xdr:rowOff>
    </xdr:from>
    <xdr:to>
      <xdr:col>115</xdr:col>
      <xdr:colOff>476251</xdr:colOff>
      <xdr:row>144</xdr:row>
      <xdr:rowOff>75828</xdr:rowOff>
    </xdr:to>
    <xdr:grpSp>
      <xdr:nvGrpSpPr>
        <xdr:cNvPr id="166" name="Group 165">
          <a:extLst>
            <a:ext uri="{FF2B5EF4-FFF2-40B4-BE49-F238E27FC236}">
              <a16:creationId xmlns:a16="http://schemas.microsoft.com/office/drawing/2014/main" id="{94ED09C9-FD59-A29D-FB18-2CD07CAB8E6D}"/>
            </a:ext>
          </a:extLst>
        </xdr:cNvPr>
        <xdr:cNvGrpSpPr/>
      </xdr:nvGrpSpPr>
      <xdr:grpSpPr>
        <a:xfrm>
          <a:off x="56202997" y="25336500"/>
          <a:ext cx="9995754" cy="2171328"/>
          <a:chOff x="14921646" y="32250607"/>
          <a:chExt cx="11440315" cy="2191421"/>
        </a:xfrm>
      </xdr:grpSpPr>
      <xdr:sp macro="" textlink="'Pivot Tables'!$U$3">
        <xdr:nvSpPr>
          <xdr:cNvPr id="167" name="Rectangle: Rounded Corners 166">
            <a:extLst>
              <a:ext uri="{FF2B5EF4-FFF2-40B4-BE49-F238E27FC236}">
                <a16:creationId xmlns:a16="http://schemas.microsoft.com/office/drawing/2014/main" id="{CAE0ADDA-1436-B54E-326A-586440BF7FF8}"/>
              </a:ext>
            </a:extLst>
          </xdr:cNvPr>
          <xdr:cNvSpPr/>
        </xdr:nvSpPr>
        <xdr:spPr>
          <a:xfrm>
            <a:off x="14921646" y="32250607"/>
            <a:ext cx="5072200" cy="2181019"/>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800" b="1" i="0" u="none" strike="noStrike">
              <a:solidFill>
                <a:schemeClr val="bg1"/>
              </a:solidFill>
              <a:latin typeface="Calibri"/>
              <a:cs typeface="Calibri"/>
            </a:endParaRPr>
          </a:p>
          <a:p>
            <a:pPr algn="ctr"/>
            <a:r>
              <a:rPr lang="en-US" sz="2800" b="1" i="0" u="none" strike="noStrike">
                <a:solidFill>
                  <a:schemeClr val="bg1"/>
                </a:solidFill>
                <a:latin typeface="Calibri"/>
                <a:cs typeface="Calibri"/>
              </a:rPr>
              <a:t>    </a:t>
            </a:r>
            <a:r>
              <a:rPr lang="en-US" sz="2800" b="1" i="0" u="none" strike="noStrike" baseline="0">
                <a:solidFill>
                  <a:schemeClr val="bg1"/>
                </a:solidFill>
                <a:latin typeface="Calibri"/>
                <a:cs typeface="Calibri"/>
              </a:rPr>
              <a:t>           </a:t>
            </a:r>
            <a:fld id="{0AA4DE66-5A1A-4476-8E99-424D50CF5F64}" type="TxLink">
              <a:rPr lang="en-US" sz="2800" b="1" i="0" u="none" strike="noStrike">
                <a:solidFill>
                  <a:schemeClr val="bg1"/>
                </a:solidFill>
                <a:latin typeface="Calibri"/>
                <a:cs typeface="Calibri"/>
              </a:rPr>
              <a:pPr algn="ctr"/>
              <a:t>10</a:t>
            </a:fld>
            <a:endParaRPr lang="en-US" sz="2800" b="1">
              <a:solidFill>
                <a:schemeClr val="bg1"/>
              </a:solidFill>
            </a:endParaRPr>
          </a:p>
        </xdr:txBody>
      </xdr:sp>
      <xdr:sp macro="" textlink="'Pivot Tables'!V6">
        <xdr:nvSpPr>
          <xdr:cNvPr id="168" name="Rectangle: Rounded Corners 167">
            <a:extLst>
              <a:ext uri="{FF2B5EF4-FFF2-40B4-BE49-F238E27FC236}">
                <a16:creationId xmlns:a16="http://schemas.microsoft.com/office/drawing/2014/main" id="{EB1D8A1F-7956-A633-053B-84EA7ACAC1F5}"/>
              </a:ext>
            </a:extLst>
          </xdr:cNvPr>
          <xdr:cNvSpPr/>
        </xdr:nvSpPr>
        <xdr:spPr>
          <a:xfrm>
            <a:off x="21286298" y="32261009"/>
            <a:ext cx="5075663" cy="2181019"/>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800" b="1" i="0" u="none" strike="noStrike">
              <a:solidFill>
                <a:schemeClr val="bg1"/>
              </a:solidFill>
              <a:latin typeface="Calibri"/>
              <a:ea typeface="+mn-ea"/>
              <a:cs typeface="Calibri"/>
            </a:endParaRPr>
          </a:p>
          <a:p>
            <a:pPr marL="0" indent="0" algn="ctr"/>
            <a:r>
              <a:rPr lang="en-US" sz="2800" b="1" i="0" u="none" strike="noStrike">
                <a:solidFill>
                  <a:schemeClr val="bg1"/>
                </a:solidFill>
                <a:latin typeface="Calibri"/>
                <a:ea typeface="+mn-ea"/>
                <a:cs typeface="Calibri"/>
              </a:rPr>
              <a:t>       </a:t>
            </a:r>
            <a:fld id="{10AA8D85-9083-49BD-98BF-B7321169E9D2}" type="TxLink">
              <a:rPr lang="en-US" sz="2800" b="1" i="0" u="none" strike="noStrike">
                <a:solidFill>
                  <a:schemeClr val="bg1"/>
                </a:solidFill>
                <a:latin typeface="Calibri"/>
                <a:ea typeface="+mn-ea"/>
                <a:cs typeface="Calibri"/>
              </a:rPr>
              <a:pPr marL="0" indent="0" algn="ctr"/>
              <a:t>22</a:t>
            </a:fld>
            <a:endParaRPr lang="en-US" sz="2800" b="1" i="0" u="none" strike="noStrike">
              <a:solidFill>
                <a:schemeClr val="bg1"/>
              </a:solidFill>
              <a:latin typeface="Calibri"/>
              <a:ea typeface="+mn-ea"/>
              <a:cs typeface="Calibri"/>
            </a:endParaRPr>
          </a:p>
        </xdr:txBody>
      </xdr:sp>
      <xdr:sp macro="" textlink="">
        <xdr:nvSpPr>
          <xdr:cNvPr id="169" name="TextBox 168">
            <a:extLst>
              <a:ext uri="{FF2B5EF4-FFF2-40B4-BE49-F238E27FC236}">
                <a16:creationId xmlns:a16="http://schemas.microsoft.com/office/drawing/2014/main" id="{722B3698-B675-6060-29F1-C9A3065CEC54}"/>
              </a:ext>
            </a:extLst>
          </xdr:cNvPr>
          <xdr:cNvSpPr txBox="1"/>
        </xdr:nvSpPr>
        <xdr:spPr>
          <a:xfrm>
            <a:off x="15965132" y="33681208"/>
            <a:ext cx="4047017" cy="50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No. Sales Person</a:t>
            </a:r>
          </a:p>
        </xdr:txBody>
      </xdr:sp>
      <xdr:pic>
        <xdr:nvPicPr>
          <xdr:cNvPr id="170" name="Graphic 169" descr="Children outline">
            <a:extLst>
              <a:ext uri="{FF2B5EF4-FFF2-40B4-BE49-F238E27FC236}">
                <a16:creationId xmlns:a16="http://schemas.microsoft.com/office/drawing/2014/main" id="{2B1A1228-C75C-2F62-18A3-5A62C2D8FF83}"/>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5117050" y="32346432"/>
            <a:ext cx="1617237" cy="1438987"/>
          </a:xfrm>
          <a:prstGeom prst="rect">
            <a:avLst/>
          </a:prstGeom>
        </xdr:spPr>
      </xdr:pic>
      <xdr:sp macro="" textlink="">
        <xdr:nvSpPr>
          <xdr:cNvPr id="171" name="TextBox 170">
            <a:extLst>
              <a:ext uri="{FF2B5EF4-FFF2-40B4-BE49-F238E27FC236}">
                <a16:creationId xmlns:a16="http://schemas.microsoft.com/office/drawing/2014/main" id="{9A68D461-80CE-B4DD-B4D7-5A155490005B}"/>
              </a:ext>
            </a:extLst>
          </xdr:cNvPr>
          <xdr:cNvSpPr txBox="1"/>
        </xdr:nvSpPr>
        <xdr:spPr>
          <a:xfrm>
            <a:off x="22867971" y="33594711"/>
            <a:ext cx="2706854" cy="45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No.Product</a:t>
            </a:r>
          </a:p>
        </xdr:txBody>
      </xdr:sp>
      <xdr:pic>
        <xdr:nvPicPr>
          <xdr:cNvPr id="172" name="Graphic 171" descr="Shopping cart with solid fill">
            <a:extLst>
              <a:ext uri="{FF2B5EF4-FFF2-40B4-BE49-F238E27FC236}">
                <a16:creationId xmlns:a16="http://schemas.microsoft.com/office/drawing/2014/main" id="{D7DFECC2-D74F-780F-AD15-18E250352BEE}"/>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21473951" y="32676662"/>
            <a:ext cx="1216124" cy="1165059"/>
          </a:xfrm>
          <a:prstGeom prst="rect">
            <a:avLst/>
          </a:prstGeom>
        </xdr:spPr>
      </xdr:pic>
    </xdr:grpSp>
    <xdr:clientData/>
  </xdr:twoCellAnchor>
  <xdr:twoCellAnchor>
    <xdr:from>
      <xdr:col>117</xdr:col>
      <xdr:colOff>476250</xdr:colOff>
      <xdr:row>133</xdr:row>
      <xdr:rowOff>95250</xdr:rowOff>
    </xdr:from>
    <xdr:to>
      <xdr:col>134</xdr:col>
      <xdr:colOff>476250</xdr:colOff>
      <xdr:row>145</xdr:row>
      <xdr:rowOff>0</xdr:rowOff>
    </xdr:to>
    <xdr:grpSp>
      <xdr:nvGrpSpPr>
        <xdr:cNvPr id="173" name="Group 172">
          <a:extLst>
            <a:ext uri="{FF2B5EF4-FFF2-40B4-BE49-F238E27FC236}">
              <a16:creationId xmlns:a16="http://schemas.microsoft.com/office/drawing/2014/main" id="{8E33724A-9AA1-7F8B-FBBB-E673B44F0675}"/>
            </a:ext>
          </a:extLst>
        </xdr:cNvPr>
        <xdr:cNvGrpSpPr/>
      </xdr:nvGrpSpPr>
      <xdr:grpSpPr>
        <a:xfrm>
          <a:off x="67341750" y="25431750"/>
          <a:ext cx="9715500" cy="2190750"/>
          <a:chOff x="14874812" y="35254707"/>
          <a:chExt cx="11448534" cy="2235693"/>
        </a:xfrm>
      </xdr:grpSpPr>
      <xdr:sp macro="" textlink="'Pivot Tables'!V10">
        <xdr:nvSpPr>
          <xdr:cNvPr id="174" name="Rectangle: Rounded Corners 173">
            <a:extLst>
              <a:ext uri="{FF2B5EF4-FFF2-40B4-BE49-F238E27FC236}">
                <a16:creationId xmlns:a16="http://schemas.microsoft.com/office/drawing/2014/main" id="{8AD5BB05-101C-5B7A-C1D2-7A3AB4BB97C3}"/>
              </a:ext>
            </a:extLst>
          </xdr:cNvPr>
          <xdr:cNvSpPr/>
        </xdr:nvSpPr>
        <xdr:spPr>
          <a:xfrm>
            <a:off x="21249348" y="35254707"/>
            <a:ext cx="5073998" cy="2235693"/>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800" b="1" i="0" u="none" strike="noStrike">
              <a:solidFill>
                <a:schemeClr val="bg1"/>
              </a:solidFill>
              <a:latin typeface="Calibri"/>
              <a:ea typeface="+mn-ea"/>
              <a:cs typeface="Calibri"/>
            </a:endParaRPr>
          </a:p>
          <a:p>
            <a:pPr marL="0" indent="0" algn="ctr"/>
            <a:r>
              <a:rPr lang="en-US" sz="2800" b="1" i="0" u="none" strike="noStrike">
                <a:solidFill>
                  <a:schemeClr val="bg1"/>
                </a:solidFill>
                <a:latin typeface="Calibri"/>
                <a:ea typeface="+mn-ea"/>
                <a:cs typeface="Calibri"/>
              </a:rPr>
              <a:t>    </a:t>
            </a:r>
            <a:fld id="{9A21DA98-E4A4-46F0-8F34-ADE6E189AAE6}" type="TxLink">
              <a:rPr lang="en-US" sz="2800" b="1" i="0" u="none" strike="noStrike">
                <a:solidFill>
                  <a:schemeClr val="bg1"/>
                </a:solidFill>
                <a:latin typeface="Calibri"/>
                <a:ea typeface="+mn-ea"/>
                <a:cs typeface="Calibri"/>
              </a:rPr>
              <a:pPr marL="0" indent="0" algn="ctr"/>
              <a:t>203,538,699</a:t>
            </a:fld>
            <a:endParaRPr lang="en-US" sz="2800" b="1" i="0" u="none" strike="noStrike">
              <a:solidFill>
                <a:schemeClr val="bg1"/>
              </a:solidFill>
              <a:latin typeface="Calibri"/>
              <a:ea typeface="+mn-ea"/>
              <a:cs typeface="Calibri"/>
            </a:endParaRPr>
          </a:p>
        </xdr:txBody>
      </xdr:sp>
      <xdr:sp macro="" textlink="'Pivot Tables'!V8">
        <xdr:nvSpPr>
          <xdr:cNvPr id="175" name="Rectangle: Rounded Corners 174">
            <a:extLst>
              <a:ext uri="{FF2B5EF4-FFF2-40B4-BE49-F238E27FC236}">
                <a16:creationId xmlns:a16="http://schemas.microsoft.com/office/drawing/2014/main" id="{5B83B629-9A6C-F784-00F6-991F445A9293}"/>
              </a:ext>
            </a:extLst>
          </xdr:cNvPr>
          <xdr:cNvSpPr/>
        </xdr:nvSpPr>
        <xdr:spPr>
          <a:xfrm>
            <a:off x="14874812" y="35274212"/>
            <a:ext cx="5071876" cy="2181019"/>
          </a:xfrm>
          <a:prstGeom prst="roundRect">
            <a:avLst/>
          </a:prstGeom>
          <a:solidFill>
            <a:schemeClr val="accent5">
              <a:lumMod val="75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800" b="1" i="0" u="none" strike="noStrike">
              <a:solidFill>
                <a:schemeClr val="bg1"/>
              </a:solidFill>
              <a:latin typeface="Calibri"/>
              <a:ea typeface="+mn-ea"/>
              <a:cs typeface="Calibri"/>
            </a:endParaRPr>
          </a:p>
          <a:p>
            <a:pPr marL="0" indent="0" algn="ctr"/>
            <a:r>
              <a:rPr lang="en-US" sz="2800" b="1" i="0" u="none" strike="noStrike">
                <a:solidFill>
                  <a:schemeClr val="bg1"/>
                </a:solidFill>
                <a:latin typeface="Calibri"/>
                <a:ea typeface="+mn-ea"/>
                <a:cs typeface="Calibri"/>
              </a:rPr>
              <a:t>   </a:t>
            </a:r>
            <a:fld id="{B70594A8-6BBC-4B58-B3FF-CE574FBABA60}" type="TxLink">
              <a:rPr lang="en-US" sz="2800" b="1" i="0" u="none" strike="noStrike">
                <a:solidFill>
                  <a:schemeClr val="bg1"/>
                </a:solidFill>
                <a:latin typeface="Calibri"/>
                <a:ea typeface="+mn-ea"/>
                <a:cs typeface="Calibri"/>
              </a:rPr>
              <a:pPr marL="0" indent="0" algn="ctr"/>
              <a:t>6</a:t>
            </a:fld>
            <a:endParaRPr lang="en-US" sz="2800" b="1" i="0" u="none" strike="noStrike">
              <a:solidFill>
                <a:schemeClr val="bg1"/>
              </a:solidFill>
              <a:latin typeface="Calibri"/>
              <a:ea typeface="+mn-ea"/>
              <a:cs typeface="Calibri"/>
            </a:endParaRPr>
          </a:p>
        </xdr:txBody>
      </xdr:sp>
      <xdr:sp macro="" textlink="">
        <xdr:nvSpPr>
          <xdr:cNvPr id="176" name="TextBox 175">
            <a:extLst>
              <a:ext uri="{FF2B5EF4-FFF2-40B4-BE49-F238E27FC236}">
                <a16:creationId xmlns:a16="http://schemas.microsoft.com/office/drawing/2014/main" id="{36A98CEE-E2E0-93D8-F7D3-2EB10B36B683}"/>
              </a:ext>
            </a:extLst>
          </xdr:cNvPr>
          <xdr:cNvSpPr txBox="1"/>
        </xdr:nvSpPr>
        <xdr:spPr>
          <a:xfrm>
            <a:off x="16661322" y="36576708"/>
            <a:ext cx="2920917" cy="50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No.rigion</a:t>
            </a:r>
          </a:p>
        </xdr:txBody>
      </xdr:sp>
      <xdr:sp macro="" textlink="">
        <xdr:nvSpPr>
          <xdr:cNvPr id="177" name="TextBox 176">
            <a:extLst>
              <a:ext uri="{FF2B5EF4-FFF2-40B4-BE49-F238E27FC236}">
                <a16:creationId xmlns:a16="http://schemas.microsoft.com/office/drawing/2014/main" id="{15EF1252-9145-81F5-B5E1-4BFB5A806BBF}"/>
              </a:ext>
            </a:extLst>
          </xdr:cNvPr>
          <xdr:cNvSpPr txBox="1"/>
        </xdr:nvSpPr>
        <xdr:spPr>
          <a:xfrm>
            <a:off x="22940934" y="36663395"/>
            <a:ext cx="2838003" cy="50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Total sales</a:t>
            </a:r>
          </a:p>
        </xdr:txBody>
      </xdr:sp>
      <xdr:pic>
        <xdr:nvPicPr>
          <xdr:cNvPr id="178" name="Graphic 177" descr="Clipboard All Crosses with solid fill">
            <a:extLst>
              <a:ext uri="{FF2B5EF4-FFF2-40B4-BE49-F238E27FC236}">
                <a16:creationId xmlns:a16="http://schemas.microsoft.com/office/drawing/2014/main" id="{311808D4-43B2-43F1-1300-2A329D8FFA81}"/>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21315219" y="35536479"/>
            <a:ext cx="1410476" cy="1437839"/>
          </a:xfrm>
          <a:prstGeom prst="rect">
            <a:avLst/>
          </a:prstGeom>
        </xdr:spPr>
      </xdr:pic>
      <xdr:pic>
        <xdr:nvPicPr>
          <xdr:cNvPr id="179" name="Graphic 178" descr="North America with solid fill">
            <a:extLst>
              <a:ext uri="{FF2B5EF4-FFF2-40B4-BE49-F238E27FC236}">
                <a16:creationId xmlns:a16="http://schemas.microsoft.com/office/drawing/2014/main" id="{F8999C98-3698-46B5-49BE-982FEF7698BA}"/>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5207774" y="35537038"/>
            <a:ext cx="1620932" cy="1541189"/>
          </a:xfrm>
          <a:prstGeom prst="rect">
            <a:avLst/>
          </a:prstGeom>
        </xdr:spPr>
      </xdr:pic>
    </xdr:grpSp>
    <xdr:clientData/>
  </xdr:twoCellAnchor>
</xdr:wsDr>
</file>

<file path=xl/drawings/drawing3.xml><?xml version="1.0" encoding="utf-8"?>
<c:userShapes xmlns:c="http://schemas.openxmlformats.org/drawingml/2006/chart">
  <cdr:relSizeAnchor xmlns:cdr="http://schemas.openxmlformats.org/drawingml/2006/chartDrawing">
    <cdr:from>
      <cdr:x>0.2791</cdr:x>
      <cdr:y>0</cdr:y>
    </cdr:from>
    <cdr:to>
      <cdr:x>0.69524</cdr:x>
      <cdr:y>0.09461</cdr:y>
    </cdr:to>
    <cdr:sp macro="" textlink="">
      <cdr:nvSpPr>
        <cdr:cNvPr id="2" name="TextBox 1">
          <a:extLst xmlns:a="http://schemas.openxmlformats.org/drawingml/2006/main">
            <a:ext uri="{FF2B5EF4-FFF2-40B4-BE49-F238E27FC236}">
              <a16:creationId xmlns:a16="http://schemas.microsoft.com/office/drawing/2014/main" id="{54BDA2EB-339E-208B-C934-51303615D96E}"/>
            </a:ext>
          </a:extLst>
        </cdr:cNvPr>
        <cdr:cNvSpPr txBox="1"/>
      </cdr:nvSpPr>
      <cdr:spPr>
        <a:xfrm xmlns:a="http://schemas.openxmlformats.org/drawingml/2006/main">
          <a:off x="2473956" y="-225135"/>
          <a:ext cx="3688773" cy="29440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0.2791</cdr:x>
      <cdr:y>0</cdr:y>
    </cdr:from>
    <cdr:to>
      <cdr:x>0.69524</cdr:x>
      <cdr:y>0.09461</cdr:y>
    </cdr:to>
    <cdr:sp macro="" textlink="">
      <cdr:nvSpPr>
        <cdr:cNvPr id="2" name="TextBox 1">
          <a:extLst xmlns:a="http://schemas.openxmlformats.org/drawingml/2006/main">
            <a:ext uri="{FF2B5EF4-FFF2-40B4-BE49-F238E27FC236}">
              <a16:creationId xmlns:a16="http://schemas.microsoft.com/office/drawing/2014/main" id="{54BDA2EB-339E-208B-C934-51303615D96E}"/>
            </a:ext>
          </a:extLst>
        </cdr:cNvPr>
        <cdr:cNvSpPr txBox="1"/>
      </cdr:nvSpPr>
      <cdr:spPr>
        <a:xfrm xmlns:a="http://schemas.openxmlformats.org/drawingml/2006/main">
          <a:off x="2473956" y="-225135"/>
          <a:ext cx="3688773" cy="29440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4</xdr:col>
      <xdr:colOff>600075</xdr:colOff>
      <xdr:row>0</xdr:row>
      <xdr:rowOff>104775</xdr:rowOff>
    </xdr:from>
    <xdr:to>
      <xdr:col>20</xdr:col>
      <xdr:colOff>489857</xdr:colOff>
      <xdr:row>27</xdr:row>
      <xdr:rowOff>0</xdr:rowOff>
    </xdr:to>
    <xdr:sp macro="" textlink="">
      <xdr:nvSpPr>
        <xdr:cNvPr id="2" name="Rounded Rectangle 1">
          <a:extLst>
            <a:ext uri="{FF2B5EF4-FFF2-40B4-BE49-F238E27FC236}">
              <a16:creationId xmlns:a16="http://schemas.microsoft.com/office/drawing/2014/main" id="{6C24BAD7-BF8B-4888-8957-BC3F756A6B4B}"/>
            </a:ext>
          </a:extLst>
        </xdr:cNvPr>
        <xdr:cNvSpPr/>
      </xdr:nvSpPr>
      <xdr:spPr>
        <a:xfrm>
          <a:off x="3038475" y="104775"/>
          <a:ext cx="9643382" cy="5038725"/>
        </a:xfrm>
        <a:prstGeom prst="roundRect">
          <a:avLst>
            <a:gd name="adj" fmla="val 7253"/>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10</xdr:col>
      <xdr:colOff>43544</xdr:colOff>
      <xdr:row>4</xdr:row>
      <xdr:rowOff>185057</xdr:rowOff>
    </xdr:from>
    <xdr:to>
      <xdr:col>15</xdr:col>
      <xdr:colOff>34018</xdr:colOff>
      <xdr:row>17</xdr:row>
      <xdr:rowOff>51707</xdr:rowOff>
    </xdr:to>
    <xdr:sp macro="" textlink="">
      <xdr:nvSpPr>
        <xdr:cNvPr id="3" name="Rectangle: Rounded Corners 2">
          <a:extLst>
            <a:ext uri="{FF2B5EF4-FFF2-40B4-BE49-F238E27FC236}">
              <a16:creationId xmlns:a16="http://schemas.microsoft.com/office/drawing/2014/main" id="{DBC4ECAB-1A6F-4677-AEC3-7230F22ED319}"/>
            </a:ext>
          </a:extLst>
        </xdr:cNvPr>
        <xdr:cNvSpPr/>
      </xdr:nvSpPr>
      <xdr:spPr>
        <a:xfrm>
          <a:off x="6139544" y="947057"/>
          <a:ext cx="3038474" cy="234315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66675</xdr:colOff>
      <xdr:row>5</xdr:row>
      <xdr:rowOff>31296</xdr:rowOff>
    </xdr:from>
    <xdr:to>
      <xdr:col>9</xdr:col>
      <xdr:colOff>600075</xdr:colOff>
      <xdr:row>17</xdr:row>
      <xdr:rowOff>88446</xdr:rowOff>
    </xdr:to>
    <xdr:sp macro="" textlink="">
      <xdr:nvSpPr>
        <xdr:cNvPr id="4" name="Rectangle: Rounded Corners 3">
          <a:extLst>
            <a:ext uri="{FF2B5EF4-FFF2-40B4-BE49-F238E27FC236}">
              <a16:creationId xmlns:a16="http://schemas.microsoft.com/office/drawing/2014/main" id="{156D04F7-3002-4528-B405-D190FC090930}"/>
            </a:ext>
          </a:extLst>
        </xdr:cNvPr>
        <xdr:cNvSpPr/>
      </xdr:nvSpPr>
      <xdr:spPr>
        <a:xfrm>
          <a:off x="3114675" y="983796"/>
          <a:ext cx="2971800" cy="234315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123825</xdr:colOff>
      <xdr:row>1</xdr:row>
      <xdr:rowOff>28575</xdr:rowOff>
    </xdr:from>
    <xdr:to>
      <xdr:col>7</xdr:col>
      <xdr:colOff>285750</xdr:colOff>
      <xdr:row>4</xdr:row>
      <xdr:rowOff>95250</xdr:rowOff>
    </xdr:to>
    <xdr:sp macro="" textlink="'[1]Pivot table'!$G$24">
      <xdr:nvSpPr>
        <xdr:cNvPr id="5" name="Rounded Rectangle 2">
          <a:extLst>
            <a:ext uri="{FF2B5EF4-FFF2-40B4-BE49-F238E27FC236}">
              <a16:creationId xmlns:a16="http://schemas.microsoft.com/office/drawing/2014/main" id="{959C9526-AEB8-4208-A715-8EB19427CF5E}"/>
            </a:ext>
          </a:extLst>
        </xdr:cNvPr>
        <xdr:cNvSpPr/>
      </xdr:nvSpPr>
      <xdr:spPr>
        <a:xfrm>
          <a:off x="3171825" y="219075"/>
          <a:ext cx="1381125" cy="638175"/>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fld id="{3D137D39-B192-4043-A841-E73FB936922C}" type="TxLink">
            <a:rPr lang="en-US" sz="1100">
              <a:solidFill>
                <a:schemeClr val="lt1"/>
              </a:solidFill>
              <a:latin typeface="+mn-lt"/>
              <a:ea typeface="+mn-ea"/>
              <a:cs typeface="+mn-cs"/>
            </a:rPr>
            <a:pPr marL="0" indent="0" algn="r"/>
            <a:t>203,538,699</a:t>
          </a:fld>
          <a:endParaRPr lang="ar-EG" sz="1100">
            <a:solidFill>
              <a:schemeClr val="lt1"/>
            </a:solidFill>
            <a:latin typeface="+mn-lt"/>
            <a:ea typeface="+mn-ea"/>
            <a:cs typeface="+mn-cs"/>
          </a:endParaRPr>
        </a:p>
      </xdr:txBody>
    </xdr:sp>
    <xdr:clientData/>
  </xdr:twoCellAnchor>
  <xdr:twoCellAnchor>
    <xdr:from>
      <xdr:col>7</xdr:col>
      <xdr:colOff>387350</xdr:colOff>
      <xdr:row>1</xdr:row>
      <xdr:rowOff>19050</xdr:rowOff>
    </xdr:from>
    <xdr:to>
      <xdr:col>9</xdr:col>
      <xdr:colOff>663575</xdr:colOff>
      <xdr:row>4</xdr:row>
      <xdr:rowOff>95250</xdr:rowOff>
    </xdr:to>
    <xdr:sp macro="" textlink="'[1]Pivot table'!$F$24">
      <xdr:nvSpPr>
        <xdr:cNvPr id="6" name="Rounded Rectangle 3">
          <a:extLst>
            <a:ext uri="{FF2B5EF4-FFF2-40B4-BE49-F238E27FC236}">
              <a16:creationId xmlns:a16="http://schemas.microsoft.com/office/drawing/2014/main" id="{C6658A03-B796-4114-8B45-0F7EC5DA79B8}"/>
            </a:ext>
          </a:extLst>
        </xdr:cNvPr>
        <xdr:cNvSpPr/>
      </xdr:nvSpPr>
      <xdr:spPr>
        <a:xfrm>
          <a:off x="4654550" y="209550"/>
          <a:ext cx="1438275" cy="6477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B59C4BE-35A5-4998-8ADB-1C3C6FDF1B60}" type="TxLink">
            <a:rPr lang="en-US" sz="1100">
              <a:solidFill>
                <a:schemeClr val="lt1"/>
              </a:solidFill>
              <a:latin typeface="+mn-lt"/>
              <a:ea typeface="+mn-ea"/>
              <a:cs typeface="+mn-cs"/>
            </a:rPr>
            <a:pPr marL="0" indent="0" algn="ctr"/>
            <a:t>22</a:t>
          </a:fld>
          <a:endParaRPr lang="ar-EG" sz="1100">
            <a:solidFill>
              <a:schemeClr val="lt1"/>
            </a:solidFill>
            <a:latin typeface="+mn-lt"/>
            <a:ea typeface="+mn-ea"/>
            <a:cs typeface="+mn-cs"/>
          </a:endParaRPr>
        </a:p>
      </xdr:txBody>
    </xdr:sp>
    <xdr:clientData/>
  </xdr:twoCellAnchor>
  <xdr:twoCellAnchor>
    <xdr:from>
      <xdr:col>10</xdr:col>
      <xdr:colOff>79375</xdr:colOff>
      <xdr:row>1</xdr:row>
      <xdr:rowOff>38100</xdr:rowOff>
    </xdr:from>
    <xdr:to>
      <xdr:col>12</xdr:col>
      <xdr:colOff>355600</xdr:colOff>
      <xdr:row>4</xdr:row>
      <xdr:rowOff>114300</xdr:rowOff>
    </xdr:to>
    <xdr:sp macro="" textlink="'[1]Pivot table'!G5">
      <xdr:nvSpPr>
        <xdr:cNvPr id="7" name="Rounded Rectangle 4">
          <a:extLst>
            <a:ext uri="{FF2B5EF4-FFF2-40B4-BE49-F238E27FC236}">
              <a16:creationId xmlns:a16="http://schemas.microsoft.com/office/drawing/2014/main" id="{91C2ADC1-D9E8-4722-BCBB-F15E37CF1EE5}"/>
            </a:ext>
          </a:extLst>
        </xdr:cNvPr>
        <xdr:cNvSpPr/>
      </xdr:nvSpPr>
      <xdr:spPr>
        <a:xfrm>
          <a:off x="6175375" y="228600"/>
          <a:ext cx="1495425" cy="6477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728A993-6A52-43B2-BE7C-9585908E94CA}" type="TxLink">
            <a:rPr lang="en-US" sz="1100">
              <a:solidFill>
                <a:schemeClr val="lt1"/>
              </a:solidFill>
              <a:latin typeface="+mn-lt"/>
              <a:ea typeface="+mn-ea"/>
              <a:cs typeface="+mn-cs"/>
            </a:rPr>
            <a:pPr marL="0" indent="0" algn="ctr"/>
            <a:t>10</a:t>
          </a:fld>
          <a:endParaRPr lang="ar-EG" sz="1100">
            <a:solidFill>
              <a:schemeClr val="lt1"/>
            </a:solidFill>
            <a:latin typeface="+mn-lt"/>
            <a:ea typeface="+mn-ea"/>
            <a:cs typeface="+mn-cs"/>
          </a:endParaRPr>
        </a:p>
      </xdr:txBody>
    </xdr:sp>
    <xdr:clientData/>
  </xdr:twoCellAnchor>
  <xdr:twoCellAnchor>
    <xdr:from>
      <xdr:col>12</xdr:col>
      <xdr:colOff>457201</xdr:colOff>
      <xdr:row>1</xdr:row>
      <xdr:rowOff>47625</xdr:rowOff>
    </xdr:from>
    <xdr:to>
      <xdr:col>15</xdr:col>
      <xdr:colOff>1</xdr:colOff>
      <xdr:row>4</xdr:row>
      <xdr:rowOff>123825</xdr:rowOff>
    </xdr:to>
    <xdr:sp macro="" textlink="'[1]Pivot table'!F9">
      <xdr:nvSpPr>
        <xdr:cNvPr id="8" name="Rounded Rectangle 5">
          <a:extLst>
            <a:ext uri="{FF2B5EF4-FFF2-40B4-BE49-F238E27FC236}">
              <a16:creationId xmlns:a16="http://schemas.microsoft.com/office/drawing/2014/main" id="{D4BD6EC1-3901-49B9-BF79-77F1BFD53CD4}"/>
            </a:ext>
          </a:extLst>
        </xdr:cNvPr>
        <xdr:cNvSpPr/>
      </xdr:nvSpPr>
      <xdr:spPr>
        <a:xfrm>
          <a:off x="7772401" y="238125"/>
          <a:ext cx="1371600" cy="6477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3E0202C5-47CF-4DE6-8EED-1D095CD0DAE5}" type="TxLink">
            <a:rPr lang="en-US" sz="1100">
              <a:solidFill>
                <a:schemeClr val="lt1"/>
              </a:solidFill>
              <a:latin typeface="+mn-lt"/>
              <a:ea typeface="+mn-ea"/>
              <a:cs typeface="+mn-cs"/>
            </a:rPr>
            <a:pPr marL="0" indent="0" algn="ctr"/>
            <a:t>6</a:t>
          </a:fld>
          <a:endParaRPr lang="ar-EG" sz="1100">
            <a:solidFill>
              <a:schemeClr val="lt1"/>
            </a:solidFill>
            <a:latin typeface="+mn-lt"/>
            <a:ea typeface="+mn-ea"/>
            <a:cs typeface="+mn-cs"/>
          </a:endParaRPr>
        </a:p>
      </xdr:txBody>
    </xdr:sp>
    <xdr:clientData/>
  </xdr:twoCellAnchor>
  <xdr:twoCellAnchor>
    <xdr:from>
      <xdr:col>4</xdr:col>
      <xdr:colOff>347382</xdr:colOff>
      <xdr:row>5</xdr:row>
      <xdr:rowOff>85725</xdr:rowOff>
    </xdr:from>
    <xdr:to>
      <xdr:col>9</xdr:col>
      <xdr:colOff>553811</xdr:colOff>
      <xdr:row>17</xdr:row>
      <xdr:rowOff>142875</xdr:rowOff>
    </xdr:to>
    <xdr:graphicFrame macro="">
      <xdr:nvGraphicFramePr>
        <xdr:cNvPr id="9" name="Chart 8">
          <a:extLst>
            <a:ext uri="{FF2B5EF4-FFF2-40B4-BE49-F238E27FC236}">
              <a16:creationId xmlns:a16="http://schemas.microsoft.com/office/drawing/2014/main" id="{61E65E7D-AFB7-4669-8116-FD5B71E66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xdr:colOff>
      <xdr:row>5</xdr:row>
      <xdr:rowOff>55789</xdr:rowOff>
    </xdr:from>
    <xdr:to>
      <xdr:col>14</xdr:col>
      <xdr:colOff>545646</xdr:colOff>
      <xdr:row>17</xdr:row>
      <xdr:rowOff>84365</xdr:rowOff>
    </xdr:to>
    <xdr:graphicFrame macro="">
      <xdr:nvGraphicFramePr>
        <xdr:cNvPr id="10" name="Chart 9">
          <a:extLst>
            <a:ext uri="{FF2B5EF4-FFF2-40B4-BE49-F238E27FC236}">
              <a16:creationId xmlns:a16="http://schemas.microsoft.com/office/drawing/2014/main" id="{B418F501-3AA0-4135-8B5D-61D9FA24F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514349</xdr:colOff>
      <xdr:row>3</xdr:row>
      <xdr:rowOff>57150</xdr:rowOff>
    </xdr:from>
    <xdr:to>
      <xdr:col>7</xdr:col>
      <xdr:colOff>333374</xdr:colOff>
      <xdr:row>4</xdr:row>
      <xdr:rowOff>57150</xdr:rowOff>
    </xdr:to>
    <xdr:sp macro="" textlink="">
      <xdr:nvSpPr>
        <xdr:cNvPr id="11" name="TextBox 10">
          <a:extLst>
            <a:ext uri="{FF2B5EF4-FFF2-40B4-BE49-F238E27FC236}">
              <a16:creationId xmlns:a16="http://schemas.microsoft.com/office/drawing/2014/main" id="{4C941799-D2F8-4472-837C-05926AFEB018}"/>
            </a:ext>
          </a:extLst>
        </xdr:cNvPr>
        <xdr:cNvSpPr txBox="1"/>
      </xdr:nvSpPr>
      <xdr:spPr>
        <a:xfrm>
          <a:off x="3562349" y="628650"/>
          <a:ext cx="10382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1">
              <a:solidFill>
                <a:schemeClr val="bg1"/>
              </a:solidFill>
            </a:rPr>
            <a:t>Total</a:t>
          </a:r>
          <a:r>
            <a:rPr lang="en-US" sz="1100" b="1" baseline="0">
              <a:solidFill>
                <a:schemeClr val="bg1"/>
              </a:solidFill>
            </a:rPr>
            <a:t> Sales</a:t>
          </a:r>
          <a:endParaRPr lang="ar-EG" sz="1100" b="1">
            <a:solidFill>
              <a:schemeClr val="bg1"/>
            </a:solidFill>
          </a:endParaRPr>
        </a:p>
      </xdr:txBody>
    </xdr:sp>
    <xdr:clientData/>
  </xdr:twoCellAnchor>
  <xdr:twoCellAnchor>
    <xdr:from>
      <xdr:col>8</xdr:col>
      <xdr:colOff>161925</xdr:colOff>
      <xdr:row>3</xdr:row>
      <xdr:rowOff>85725</xdr:rowOff>
    </xdr:from>
    <xdr:to>
      <xdr:col>10</xdr:col>
      <xdr:colOff>47625</xdr:colOff>
      <xdr:row>4</xdr:row>
      <xdr:rowOff>38100</xdr:rowOff>
    </xdr:to>
    <xdr:sp macro="" textlink="">
      <xdr:nvSpPr>
        <xdr:cNvPr id="12" name="TextBox 11">
          <a:extLst>
            <a:ext uri="{FF2B5EF4-FFF2-40B4-BE49-F238E27FC236}">
              <a16:creationId xmlns:a16="http://schemas.microsoft.com/office/drawing/2014/main" id="{73C4D680-1CB5-4F5F-99DB-198780837C17}"/>
            </a:ext>
          </a:extLst>
        </xdr:cNvPr>
        <xdr:cNvSpPr txBox="1"/>
      </xdr:nvSpPr>
      <xdr:spPr>
        <a:xfrm>
          <a:off x="5038725" y="657225"/>
          <a:ext cx="1104900" cy="14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r>
            <a:rPr lang="en-US" sz="1100" b="1">
              <a:solidFill>
                <a:schemeClr val="bg1"/>
              </a:solidFill>
            </a:rPr>
            <a:t>No.Product</a:t>
          </a:r>
          <a:endParaRPr lang="ar-EG" sz="1100" b="1">
            <a:solidFill>
              <a:schemeClr val="bg1"/>
            </a:solidFill>
          </a:endParaRPr>
        </a:p>
      </xdr:txBody>
    </xdr:sp>
    <xdr:clientData/>
  </xdr:twoCellAnchor>
  <xdr:twoCellAnchor editAs="oneCell">
    <xdr:from>
      <xdr:col>7</xdr:col>
      <xdr:colOff>419101</xdr:colOff>
      <xdr:row>2</xdr:row>
      <xdr:rowOff>681</xdr:rowOff>
    </xdr:from>
    <xdr:to>
      <xdr:col>8</xdr:col>
      <xdr:colOff>152401</xdr:colOff>
      <xdr:row>4</xdr:row>
      <xdr:rowOff>57831</xdr:rowOff>
    </xdr:to>
    <xdr:pic>
      <xdr:nvPicPr>
        <xdr:cNvPr id="13" name="Picture 12">
          <a:extLst>
            <a:ext uri="{FF2B5EF4-FFF2-40B4-BE49-F238E27FC236}">
              <a16:creationId xmlns:a16="http://schemas.microsoft.com/office/drawing/2014/main" id="{F3FD2CAE-DCF0-4B49-B64C-A17A6283BFD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86301" y="381681"/>
          <a:ext cx="342900" cy="438150"/>
        </a:xfrm>
        <a:prstGeom prst="rect">
          <a:avLst/>
        </a:prstGeom>
      </xdr:spPr>
    </xdr:pic>
    <xdr:clientData/>
  </xdr:twoCellAnchor>
  <xdr:twoCellAnchor editAs="oneCell">
    <xdr:from>
      <xdr:col>5</xdr:col>
      <xdr:colOff>180975</xdr:colOff>
      <xdr:row>1</xdr:row>
      <xdr:rowOff>162606</xdr:rowOff>
    </xdr:from>
    <xdr:to>
      <xdr:col>5</xdr:col>
      <xdr:colOff>571500</xdr:colOff>
      <xdr:row>4</xdr:row>
      <xdr:rowOff>38780</xdr:rowOff>
    </xdr:to>
    <xdr:pic>
      <xdr:nvPicPr>
        <xdr:cNvPr id="14" name="Picture 13">
          <a:extLst>
            <a:ext uri="{FF2B5EF4-FFF2-40B4-BE49-F238E27FC236}">
              <a16:creationId xmlns:a16="http://schemas.microsoft.com/office/drawing/2014/main" id="{78DEEDB5-486D-4CEF-B3AF-4C265436933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28975" y="353106"/>
          <a:ext cx="390525" cy="447674"/>
        </a:xfrm>
        <a:prstGeom prst="rect">
          <a:avLst/>
        </a:prstGeom>
      </xdr:spPr>
    </xdr:pic>
    <xdr:clientData/>
  </xdr:twoCellAnchor>
  <xdr:twoCellAnchor>
    <xdr:from>
      <xdr:col>10</xdr:col>
      <xdr:colOff>495299</xdr:colOff>
      <xdr:row>3</xdr:row>
      <xdr:rowOff>95250</xdr:rowOff>
    </xdr:from>
    <xdr:to>
      <xdr:col>12</xdr:col>
      <xdr:colOff>276224</xdr:colOff>
      <xdr:row>4</xdr:row>
      <xdr:rowOff>85725</xdr:rowOff>
    </xdr:to>
    <xdr:sp macro="" textlink="">
      <xdr:nvSpPr>
        <xdr:cNvPr id="15" name="TextBox 14">
          <a:extLst>
            <a:ext uri="{FF2B5EF4-FFF2-40B4-BE49-F238E27FC236}">
              <a16:creationId xmlns:a16="http://schemas.microsoft.com/office/drawing/2014/main" id="{551AE282-2F5E-4B84-ACF1-1E024EDB9B6B}"/>
            </a:ext>
          </a:extLst>
        </xdr:cNvPr>
        <xdr:cNvSpPr txBox="1"/>
      </xdr:nvSpPr>
      <xdr:spPr>
        <a:xfrm>
          <a:off x="6591299" y="666750"/>
          <a:ext cx="10001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1">
              <a:solidFill>
                <a:schemeClr val="bg1"/>
              </a:solidFill>
            </a:rPr>
            <a:t>No.Sales</a:t>
          </a:r>
          <a:r>
            <a:rPr lang="en-US" sz="1100" b="1" baseline="0">
              <a:solidFill>
                <a:schemeClr val="bg1"/>
              </a:solidFill>
            </a:rPr>
            <a:t>Person</a:t>
          </a:r>
          <a:endParaRPr lang="ar-EG" sz="1100" b="1">
            <a:solidFill>
              <a:schemeClr val="bg1"/>
            </a:solidFill>
          </a:endParaRPr>
        </a:p>
      </xdr:txBody>
    </xdr:sp>
    <xdr:clientData/>
  </xdr:twoCellAnchor>
  <xdr:twoCellAnchor editAs="oneCell">
    <xdr:from>
      <xdr:col>10</xdr:col>
      <xdr:colOff>152402</xdr:colOff>
      <xdr:row>2</xdr:row>
      <xdr:rowOff>9525</xdr:rowOff>
    </xdr:from>
    <xdr:to>
      <xdr:col>10</xdr:col>
      <xdr:colOff>495982</xdr:colOff>
      <xdr:row>4</xdr:row>
      <xdr:rowOff>67355</xdr:rowOff>
    </xdr:to>
    <xdr:pic>
      <xdr:nvPicPr>
        <xdr:cNvPr id="16" name="Picture 15">
          <a:extLst>
            <a:ext uri="{FF2B5EF4-FFF2-40B4-BE49-F238E27FC236}">
              <a16:creationId xmlns:a16="http://schemas.microsoft.com/office/drawing/2014/main" id="{ABB7FEC7-60A9-46ED-B9D1-DBEA6FA5A41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248402" y="390525"/>
          <a:ext cx="343580" cy="438830"/>
        </a:xfrm>
        <a:prstGeom prst="rect">
          <a:avLst/>
        </a:prstGeom>
      </xdr:spPr>
    </xdr:pic>
    <xdr:clientData/>
  </xdr:twoCellAnchor>
  <xdr:twoCellAnchor>
    <xdr:from>
      <xdr:col>13</xdr:col>
      <xdr:colOff>66675</xdr:colOff>
      <xdr:row>3</xdr:row>
      <xdr:rowOff>114300</xdr:rowOff>
    </xdr:from>
    <xdr:to>
      <xdr:col>14</xdr:col>
      <xdr:colOff>552450</xdr:colOff>
      <xdr:row>4</xdr:row>
      <xdr:rowOff>95250</xdr:rowOff>
    </xdr:to>
    <xdr:sp macro="" textlink="">
      <xdr:nvSpPr>
        <xdr:cNvPr id="17" name="TextBox 16">
          <a:extLst>
            <a:ext uri="{FF2B5EF4-FFF2-40B4-BE49-F238E27FC236}">
              <a16:creationId xmlns:a16="http://schemas.microsoft.com/office/drawing/2014/main" id="{84DF6FCA-48E9-4D73-AD7D-53B982DACA8D}"/>
            </a:ext>
          </a:extLst>
        </xdr:cNvPr>
        <xdr:cNvSpPr txBox="1"/>
      </xdr:nvSpPr>
      <xdr:spPr>
        <a:xfrm>
          <a:off x="7991475" y="685800"/>
          <a:ext cx="10953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100" b="1">
              <a:solidFill>
                <a:schemeClr val="bg1"/>
              </a:solidFill>
            </a:rPr>
            <a:t>No.Region</a:t>
          </a:r>
          <a:endParaRPr lang="ar-EG" sz="1100" b="1">
            <a:solidFill>
              <a:schemeClr val="bg1"/>
            </a:solidFill>
          </a:endParaRPr>
        </a:p>
      </xdr:txBody>
    </xdr:sp>
    <xdr:clientData/>
  </xdr:twoCellAnchor>
  <xdr:twoCellAnchor editAs="oneCell">
    <xdr:from>
      <xdr:col>12</xdr:col>
      <xdr:colOff>533401</xdr:colOff>
      <xdr:row>2</xdr:row>
      <xdr:rowOff>38099</xdr:rowOff>
    </xdr:from>
    <xdr:to>
      <xdr:col>13</xdr:col>
      <xdr:colOff>248332</xdr:colOff>
      <xdr:row>4</xdr:row>
      <xdr:rowOff>57830</xdr:rowOff>
    </xdr:to>
    <xdr:pic>
      <xdr:nvPicPr>
        <xdr:cNvPr id="18" name="Picture 17">
          <a:extLst>
            <a:ext uri="{FF2B5EF4-FFF2-40B4-BE49-F238E27FC236}">
              <a16:creationId xmlns:a16="http://schemas.microsoft.com/office/drawing/2014/main" id="{ADAF002D-8764-4744-AAA6-145940CB079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848601" y="419099"/>
          <a:ext cx="324531" cy="400731"/>
        </a:xfrm>
        <a:prstGeom prst="rect">
          <a:avLst/>
        </a:prstGeom>
      </xdr:spPr>
    </xdr:pic>
    <xdr:clientData/>
  </xdr:twoCellAnchor>
  <xdr:twoCellAnchor>
    <xdr:from>
      <xdr:col>5</xdr:col>
      <xdr:colOff>122465</xdr:colOff>
      <xdr:row>17</xdr:row>
      <xdr:rowOff>161925</xdr:rowOff>
    </xdr:from>
    <xdr:to>
      <xdr:col>20</xdr:col>
      <xdr:colOff>212912</xdr:colOff>
      <xdr:row>26</xdr:row>
      <xdr:rowOff>66675</xdr:rowOff>
    </xdr:to>
    <xdr:sp macro="" textlink="">
      <xdr:nvSpPr>
        <xdr:cNvPr id="19" name="Rectangle: Rounded Corners 18">
          <a:extLst>
            <a:ext uri="{FF2B5EF4-FFF2-40B4-BE49-F238E27FC236}">
              <a16:creationId xmlns:a16="http://schemas.microsoft.com/office/drawing/2014/main" id="{BD8A16D0-35D5-44D3-8349-3E98935D2639}"/>
            </a:ext>
          </a:extLst>
        </xdr:cNvPr>
        <xdr:cNvSpPr/>
      </xdr:nvSpPr>
      <xdr:spPr>
        <a:xfrm>
          <a:off x="3170465" y="3400425"/>
          <a:ext cx="9234447" cy="1619250"/>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190500</xdr:colOff>
      <xdr:row>17</xdr:row>
      <xdr:rowOff>142875</xdr:rowOff>
    </xdr:from>
    <xdr:to>
      <xdr:col>20</xdr:col>
      <xdr:colOff>168088</xdr:colOff>
      <xdr:row>26</xdr:row>
      <xdr:rowOff>85726</xdr:rowOff>
    </xdr:to>
    <xdr:graphicFrame macro="">
      <xdr:nvGraphicFramePr>
        <xdr:cNvPr id="20" name="Chart 19">
          <a:extLst>
            <a:ext uri="{FF2B5EF4-FFF2-40B4-BE49-F238E27FC236}">
              <a16:creationId xmlns:a16="http://schemas.microsoft.com/office/drawing/2014/main" id="{1FECFD56-5C0A-4D7D-ACE5-37C98E4AB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201387</xdr:colOff>
      <xdr:row>1</xdr:row>
      <xdr:rowOff>50347</xdr:rowOff>
    </xdr:from>
    <xdr:to>
      <xdr:col>17</xdr:col>
      <xdr:colOff>356508</xdr:colOff>
      <xdr:row>4</xdr:row>
      <xdr:rowOff>126547</xdr:rowOff>
    </xdr:to>
    <xdr:sp macro="" textlink="'[1]Pivot table'!F13">
      <xdr:nvSpPr>
        <xdr:cNvPr id="21" name="Rounded Rectangle 5">
          <a:extLst>
            <a:ext uri="{FF2B5EF4-FFF2-40B4-BE49-F238E27FC236}">
              <a16:creationId xmlns:a16="http://schemas.microsoft.com/office/drawing/2014/main" id="{C8A1C1B9-7E99-46DE-B6B4-7C7B4F8260D6}"/>
            </a:ext>
          </a:extLst>
        </xdr:cNvPr>
        <xdr:cNvSpPr/>
      </xdr:nvSpPr>
      <xdr:spPr>
        <a:xfrm>
          <a:off x="9345387" y="240847"/>
          <a:ext cx="1374321" cy="6477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CC05FA3E-D776-4BD0-8F9E-0C0363417F24}" type="TxLink">
            <a:rPr lang="ar-EG" sz="1100">
              <a:solidFill>
                <a:schemeClr val="lt1"/>
              </a:solidFill>
              <a:latin typeface="+mn-lt"/>
              <a:ea typeface="+mn-ea"/>
              <a:cs typeface="+mn-cs"/>
            </a:rPr>
            <a:pPr marL="0" indent="0" algn="ctr"/>
            <a:t>نوفمبر</a:t>
          </a:fld>
          <a:endParaRPr lang="en-US" sz="1100">
            <a:solidFill>
              <a:schemeClr val="lt1"/>
            </a:solidFill>
            <a:latin typeface="+mn-lt"/>
            <a:ea typeface="+mn-ea"/>
            <a:cs typeface="+mn-cs"/>
          </a:endParaRPr>
        </a:p>
      </xdr:txBody>
    </xdr:sp>
    <xdr:clientData/>
  </xdr:twoCellAnchor>
  <xdr:twoCellAnchor>
    <xdr:from>
      <xdr:col>17</xdr:col>
      <xdr:colOff>557893</xdr:colOff>
      <xdr:row>1</xdr:row>
      <xdr:rowOff>53069</xdr:rowOff>
    </xdr:from>
    <xdr:to>
      <xdr:col>20</xdr:col>
      <xdr:colOff>190499</xdr:colOff>
      <xdr:row>4</xdr:row>
      <xdr:rowOff>129269</xdr:rowOff>
    </xdr:to>
    <xdr:sp macro="" textlink="'[1]Pivot table'!F19">
      <xdr:nvSpPr>
        <xdr:cNvPr id="22" name="Rounded Rectangle 5">
          <a:extLst>
            <a:ext uri="{FF2B5EF4-FFF2-40B4-BE49-F238E27FC236}">
              <a16:creationId xmlns:a16="http://schemas.microsoft.com/office/drawing/2014/main" id="{A4E889B6-D1E8-474B-A20E-878A843724AF}"/>
            </a:ext>
          </a:extLst>
        </xdr:cNvPr>
        <xdr:cNvSpPr/>
      </xdr:nvSpPr>
      <xdr:spPr>
        <a:xfrm>
          <a:off x="10921093" y="243569"/>
          <a:ext cx="1461406" cy="64770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A653627-4DB9-443A-B33B-C368E1CD3A47}" type="TxLink">
            <a:rPr lang="ar-EG" sz="1100">
              <a:solidFill>
                <a:schemeClr val="lt1"/>
              </a:solidFill>
              <a:latin typeface="+mn-lt"/>
              <a:ea typeface="+mn-ea"/>
              <a:cs typeface="+mn-cs"/>
            </a:rPr>
            <a:pPr marL="0" indent="0" algn="ctr"/>
            <a:t>يناير</a:t>
          </a:fld>
          <a:endParaRPr lang="ar-EG" sz="1100">
            <a:solidFill>
              <a:schemeClr val="lt1"/>
            </a:solidFill>
            <a:latin typeface="+mn-lt"/>
            <a:ea typeface="+mn-ea"/>
            <a:cs typeface="+mn-cs"/>
          </a:endParaRPr>
        </a:p>
      </xdr:txBody>
    </xdr:sp>
    <xdr:clientData/>
  </xdr:twoCellAnchor>
  <xdr:twoCellAnchor editAs="oneCell">
    <xdr:from>
      <xdr:col>15</xdr:col>
      <xdr:colOff>227240</xdr:colOff>
      <xdr:row>1</xdr:row>
      <xdr:rowOff>27215</xdr:rowOff>
    </xdr:from>
    <xdr:to>
      <xdr:col>16</xdr:col>
      <xdr:colOff>95250</xdr:colOff>
      <xdr:row>3</xdr:row>
      <xdr:rowOff>126006</xdr:rowOff>
    </xdr:to>
    <xdr:pic>
      <xdr:nvPicPr>
        <xdr:cNvPr id="23" name="Graphic 22" descr="Monthly calendar outline">
          <a:extLst>
            <a:ext uri="{FF2B5EF4-FFF2-40B4-BE49-F238E27FC236}">
              <a16:creationId xmlns:a16="http://schemas.microsoft.com/office/drawing/2014/main" id="{F3B11988-E618-456D-9B80-F84C08C57AC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371240" y="217715"/>
          <a:ext cx="477610" cy="479791"/>
        </a:xfrm>
        <a:prstGeom prst="rect">
          <a:avLst/>
        </a:prstGeom>
      </xdr:spPr>
    </xdr:pic>
    <xdr:clientData/>
  </xdr:twoCellAnchor>
  <xdr:twoCellAnchor editAs="oneCell">
    <xdr:from>
      <xdr:col>18</xdr:col>
      <xdr:colOff>7126</xdr:colOff>
      <xdr:row>1</xdr:row>
      <xdr:rowOff>54750</xdr:rowOff>
    </xdr:from>
    <xdr:to>
      <xdr:col>18</xdr:col>
      <xdr:colOff>474855</xdr:colOff>
      <xdr:row>3</xdr:row>
      <xdr:rowOff>142875</xdr:rowOff>
    </xdr:to>
    <xdr:pic>
      <xdr:nvPicPr>
        <xdr:cNvPr id="24" name="Graphic 23" descr="Flip calendar outline">
          <a:extLst>
            <a:ext uri="{FF2B5EF4-FFF2-40B4-BE49-F238E27FC236}">
              <a16:creationId xmlns:a16="http://schemas.microsoft.com/office/drawing/2014/main" id="{74676BFC-B2EA-4ED7-BB88-D37157090F8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979926" y="245250"/>
          <a:ext cx="467729" cy="469125"/>
        </a:xfrm>
        <a:prstGeom prst="rect">
          <a:avLst/>
        </a:prstGeom>
      </xdr:spPr>
    </xdr:pic>
    <xdr:clientData/>
  </xdr:twoCellAnchor>
  <xdr:oneCellAnchor>
    <xdr:from>
      <xdr:col>15</xdr:col>
      <xdr:colOff>340179</xdr:colOff>
      <xdr:row>3</xdr:row>
      <xdr:rowOff>27214</xdr:rowOff>
    </xdr:from>
    <xdr:ext cx="1235275" cy="264560"/>
    <xdr:sp macro="" textlink="">
      <xdr:nvSpPr>
        <xdr:cNvPr id="25" name="TextBox 24">
          <a:extLst>
            <a:ext uri="{FF2B5EF4-FFF2-40B4-BE49-F238E27FC236}">
              <a16:creationId xmlns:a16="http://schemas.microsoft.com/office/drawing/2014/main" id="{2DDF4EC3-BB7D-42D1-A84A-4732E2086DE9}"/>
            </a:ext>
          </a:extLst>
        </xdr:cNvPr>
        <xdr:cNvSpPr txBox="1"/>
      </xdr:nvSpPr>
      <xdr:spPr>
        <a:xfrm>
          <a:off x="9484179" y="598714"/>
          <a:ext cx="12352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latin typeface="+mn-lt"/>
              <a:ea typeface="+mn-ea"/>
              <a:cs typeface="+mn-cs"/>
            </a:rPr>
            <a:t>heightest</a:t>
          </a:r>
          <a:r>
            <a:rPr lang="en-US" sz="1100" baseline="0"/>
            <a:t> </a:t>
          </a:r>
          <a:r>
            <a:rPr lang="en-US" sz="1100" b="1">
              <a:solidFill>
                <a:schemeClr val="bg1"/>
              </a:solidFill>
              <a:latin typeface="+mn-lt"/>
              <a:ea typeface="+mn-ea"/>
              <a:cs typeface="+mn-cs"/>
            </a:rPr>
            <a:t>months</a:t>
          </a:r>
          <a:r>
            <a:rPr lang="en-US" sz="1100" baseline="0"/>
            <a:t> </a:t>
          </a:r>
          <a:endParaRPr lang="en-US" sz="1100"/>
        </a:p>
      </xdr:txBody>
    </xdr:sp>
    <xdr:clientData/>
  </xdr:oneCellAnchor>
  <xdr:oneCellAnchor>
    <xdr:from>
      <xdr:col>18</xdr:col>
      <xdr:colOff>108856</xdr:colOff>
      <xdr:row>3</xdr:row>
      <xdr:rowOff>54429</xdr:rowOff>
    </xdr:from>
    <xdr:ext cx="1080680" cy="264560"/>
    <xdr:sp macro="" textlink="">
      <xdr:nvSpPr>
        <xdr:cNvPr id="26" name="TextBox 25">
          <a:extLst>
            <a:ext uri="{FF2B5EF4-FFF2-40B4-BE49-F238E27FC236}">
              <a16:creationId xmlns:a16="http://schemas.microsoft.com/office/drawing/2014/main" id="{0D1811DF-0364-4B02-BF77-72BC2D1F8110}"/>
            </a:ext>
          </a:extLst>
        </xdr:cNvPr>
        <xdr:cNvSpPr txBox="1"/>
      </xdr:nvSpPr>
      <xdr:spPr>
        <a:xfrm>
          <a:off x="11081656" y="625929"/>
          <a:ext cx="10806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latin typeface="+mn-lt"/>
              <a:ea typeface="+mn-ea"/>
              <a:cs typeface="+mn-cs"/>
            </a:rPr>
            <a:t>Lowest months</a:t>
          </a:r>
        </a:p>
      </xdr:txBody>
    </xdr:sp>
    <xdr:clientData/>
  </xdr:oneCellAnchor>
  <xdr:twoCellAnchor>
    <xdr:from>
      <xdr:col>15</xdr:col>
      <xdr:colOff>223159</xdr:colOff>
      <xdr:row>5</xdr:row>
      <xdr:rowOff>38100</xdr:rowOff>
    </xdr:from>
    <xdr:to>
      <xdr:col>20</xdr:col>
      <xdr:colOff>340178</xdr:colOff>
      <xdr:row>17</xdr:row>
      <xdr:rowOff>44824</xdr:rowOff>
    </xdr:to>
    <xdr:sp macro="" textlink="">
      <xdr:nvSpPr>
        <xdr:cNvPr id="27" name="Rectangle: Rounded Corners 26">
          <a:extLst>
            <a:ext uri="{FF2B5EF4-FFF2-40B4-BE49-F238E27FC236}">
              <a16:creationId xmlns:a16="http://schemas.microsoft.com/office/drawing/2014/main" id="{C349EE52-9367-4756-B3D0-DD9392BC21E2}"/>
            </a:ext>
          </a:extLst>
        </xdr:cNvPr>
        <xdr:cNvSpPr/>
      </xdr:nvSpPr>
      <xdr:spPr>
        <a:xfrm>
          <a:off x="9367159" y="990600"/>
          <a:ext cx="3165019" cy="2292724"/>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224117</xdr:colOff>
      <xdr:row>4</xdr:row>
      <xdr:rowOff>159205</xdr:rowOff>
    </xdr:from>
    <xdr:to>
      <xdr:col>20</xdr:col>
      <xdr:colOff>381000</xdr:colOff>
      <xdr:row>17</xdr:row>
      <xdr:rowOff>33619</xdr:rowOff>
    </xdr:to>
    <xdr:graphicFrame macro="">
      <xdr:nvGraphicFramePr>
        <xdr:cNvPr id="28" name="Chart 27">
          <a:extLst>
            <a:ext uri="{FF2B5EF4-FFF2-40B4-BE49-F238E27FC236}">
              <a16:creationId xmlns:a16="http://schemas.microsoft.com/office/drawing/2014/main" id="{327254BF-70FB-4C40-9900-B3491F14B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Courses\Data%20Analysis\NTI\excel%20(Row%20data).xlsx" TargetMode="External"/><Relationship Id="rId1" Type="http://schemas.openxmlformats.org/officeDocument/2006/relationships/externalLinkPath" Target="excel%20(Row%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table"/>
      <sheetName val="Final Dashboard"/>
      <sheetName val="Dashboards"/>
      <sheetName val="clean"/>
      <sheetName val="Raw-data "/>
      <sheetName val="Meta-data "/>
      <sheetName val="Solve Questions"/>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press" refreshedDate="45989.983948263885" createdVersion="8" refreshedVersion="8" minRefreshableVersion="3" recordCount="315" xr:uid="{4D411FA8-0E1B-49F1-8E6E-5A19F7C17E55}">
  <cacheSource type="worksheet">
    <worksheetSource name="Table1"/>
  </cacheSource>
  <cacheFields count="14">
    <cacheField name="Order-ID" numFmtId="0">
      <sharedItems containsSemiMixedTypes="0" containsString="0" containsNumber="1" containsInteger="1" minValue="1" maxValue="315"/>
    </cacheField>
    <cacheField name="Sales Person" numFmtId="0">
      <sharedItems count="10">
        <s v="Rahma mostafa "/>
        <s v="Ahmed said "/>
        <s v="Husein Augar"/>
        <s v="Samira mostafa "/>
        <s v="Hassan ahmed "/>
        <s v="Sara khaled "/>
        <s v="Hesham gamal "/>
        <s v="Mohamed Ali"/>
        <s v="Mohamed galal"/>
        <s v="Abd alrahman mohamed "/>
      </sharedItems>
    </cacheField>
    <cacheField name="Geography" numFmtId="0">
      <sharedItems count="6">
        <s v="Al Gharbia "/>
        <s v="Al sharqia "/>
        <s v="Cairo"/>
        <s v="Giza "/>
        <s v="Alex "/>
        <s v="Sharm "/>
      </sharedItems>
    </cacheField>
    <cacheField name="Product" numFmtId="0">
      <sharedItems count="22">
        <s v="70% Dark Bites"/>
        <s v="Choco Coated Almonds"/>
        <s v="Almond Choco"/>
        <s v="Drinking Coco"/>
        <s v="White Choc"/>
        <s v="Peanut Butter Cubes"/>
        <s v="Smooth Sliky Salty"/>
        <s v="After Nines"/>
        <s v="50% Dark Bites"/>
        <s v="Eclairs"/>
        <s v="Mint Chip Choco"/>
        <s v="Milk Bars"/>
        <s v="Manuka Honey Choco"/>
        <s v="Orange Choco"/>
        <s v="Fruit &amp; Nut Bars"/>
        <s v="99% Dark &amp; Pure"/>
        <s v="Raspberry Choco"/>
        <s v="85% Dark Bars"/>
        <s v="Organic Choco Syrup"/>
        <s v="Caramel Stuffed Bars"/>
        <s v="Spicy Special Slims"/>
        <s v="Baker's Choco Chips"/>
      </sharedItems>
    </cacheField>
    <cacheField name="unit price" numFmtId="0">
      <sharedItems containsSemiMixedTypes="0" containsString="0" containsNumber="1" containsInteger="1" minValue="0" maxValue="16184"/>
    </cacheField>
    <cacheField name="Units" numFmtId="0">
      <sharedItems containsSemiMixedTypes="0" containsString="0" containsNumber="1" containsInteger="1" minValue="0" maxValue="525"/>
    </cacheField>
    <cacheField name="Order date " numFmtId="14">
      <sharedItems containsSemiMixedTypes="0" containsNonDate="0" containsDate="1" containsString="0" minDate="2023-01-01T00:00:00" maxDate="2023-11-12T00:00:00"/>
    </cacheField>
    <cacheField name="Total sales" numFmtId="0">
      <sharedItems containsSemiMixedTypes="0" containsString="0" containsNumber="1" containsInteger="1" minValue="0" maxValue="5291790"/>
    </cacheField>
    <cacheField name="day" numFmtId="0">
      <sharedItems containsSemiMixedTypes="0" containsString="0" containsNumber="1" containsInteger="1" minValue="1" maxValue="31"/>
    </cacheField>
    <cacheField name="day2" numFmtId="0">
      <sharedItems/>
    </cacheField>
    <cacheField name="month" numFmtId="0">
      <sharedItems containsSemiMixedTypes="0" containsString="0" containsNumber="1" containsInteger="1" minValue="1" maxValue="11" count="11">
        <n v="1"/>
        <n v="2"/>
        <n v="3"/>
        <n v="4"/>
        <n v="5"/>
        <n v="6"/>
        <n v="7"/>
        <n v="8"/>
        <n v="9"/>
        <n v="10"/>
        <n v="11"/>
      </sharedItems>
    </cacheField>
    <cacheField name="month2" numFmtId="0">
      <sharedItems count="11">
        <s v="Jan"/>
        <s v="Feb"/>
        <s v="Mar"/>
        <s v="Apr"/>
        <s v="May"/>
        <s v="Jun"/>
        <s v="Jul"/>
        <s v="Aug"/>
        <s v="Sep"/>
        <s v="Oct"/>
        <s v="Nov"/>
      </sharedItems>
    </cacheField>
    <cacheField name="quarter" numFmtId="0">
      <sharedItems containsSemiMixedTypes="0" containsString="0" containsNumber="1" containsInteger="1" minValue="1" maxValue="4"/>
    </cacheField>
    <cacheField name="quarter2"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5985.710879629631" backgroundQuery="1" createdVersion="8" refreshedVersion="8" minRefreshableVersion="3" recordCount="0" supportSubquery="1" supportAdvancedDrill="1" xr:uid="{411DBC0F-195D-47A3-82A2-D6C06F20AA5D}">
  <cacheSource type="external" connectionId="2"/>
  <cacheFields count="2">
    <cacheField name="[Table1].[Geography].[Geography]" caption="Geography" numFmtId="0" hierarchy="3" level="1">
      <sharedItems count="6">
        <s v="Al Gharbia"/>
        <s v="Al sharqia"/>
        <s v="Alex"/>
        <s v="Cairo"/>
        <s v="Giza"/>
        <s v="Sharm"/>
      </sharedItems>
    </cacheField>
    <cacheField name="[Measures].[Sum of Total sales]" caption="Sum of Total sales" numFmtId="0" hierarchy="19" level="32767"/>
  </cacheFields>
  <cacheHierarchies count="28">
    <cacheHierarchy uniqueName="[Final Dashboard].[S]" caption="S" attribute="1" defaultMemberUniqueName="[Final Dashboard].[S].[All]" allUniqueName="[Final Dashboard].[S].[All]" dimensionUniqueName="[Final Dashboard]" displayFolder="" count="0" memberValueDatatype="130" unbalanced="0"/>
    <cacheHierarchy uniqueName="[Table1].[Order-ID]" caption="Order-ID" attribute="1" defaultMemberUniqueName="[Table1].[Order-ID].[All]" allUniqueName="[Table1].[Order-ID].[All]" dimensionUniqueName="[Table1]" displayFolder="" count="0" memberValueDatatype="20" unbalanced="0"/>
    <cacheHierarchy uniqueName="[Table1].[Sales Person]" caption="Sales Person" attribute="1" defaultMemberUniqueName="[Table1].[Sales Person].[All]" allUniqueName="[Table1].[Sales Person].[All]" dimensionUniqueName="[Table1]" displayFolder="" count="0" memberValueDatatype="130" unbalanced="0"/>
    <cacheHierarchy uniqueName="[Table1].[Geography]" caption="Geography" attribute="1" defaultMemberUniqueName="[Table1].[Geography].[All]" allUniqueName="[Table1].[Geography].[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Total sales]" caption="Total sales" attribute="1" defaultMemberUniqueName="[Table1].[Total sales].[All]" allUniqueName="[Table1].[Total sales].[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day2]" caption="day2" attribute="1" defaultMemberUniqueName="[Table1].[day2].[All]" allUniqueName="[Table1].[day2].[All]" dimensionUniqueName="[Table1]" displayFolder="" count="0" memberValueDatatype="130" unbalanced="0"/>
    <cacheHierarchy uniqueName="[Table1].[month]" caption="month" attribute="1" defaultMemberUniqueName="[Table1].[month].[All]" allUniqueName="[Table1].[month].[All]" dimensionUniqueName="[Table1]" displayFolder="" count="0" memberValueDatatype="20" unbalanced="0"/>
    <cacheHierarchy uniqueName="[Table1].[month2]" caption="month2" attribute="1" defaultMemberUniqueName="[Table1].[month2].[All]" allUniqueName="[Table1].[month2].[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quarter2]" caption="quarter2" attribute="1" defaultMemberUniqueName="[Table1].[quarter2].[All]" allUniqueName="[Table1].[quarter2].[All]" dimensionUniqueName="[Table1]" displayFolder="" count="0" memberValueDatatype="130" unbalanced="0"/>
    <cacheHierarchy uniqueName="[Measures].[__XL_Count Table1]" caption="__XL_Count Table1" measure="1" displayFolder="" measureGroup="Table1" count="0" hidden="1"/>
    <cacheHierarchy uniqueName="[Measures].[__XL_Count Final Dashboard]" caption="__XL_Count Final Dashboard" measure="1" displayFolder="" measureGroup="Final Dashboard" count="0" hidden="1"/>
    <cacheHierarchy uniqueName="[Measures].[__No measures defined]" caption="__No measures defined" measure="1" displayFolder="" count="0" hidden="1"/>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11"/>
        </ext>
      </extLst>
    </cacheHierarchy>
    <cacheHierarchy uniqueName="[Measures].[Count of Sales Person]" caption="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Geography]" caption="Distinct Count of Geography" measure="1" displayFolder="" measureGroup="Table1" count="0" hidden="1">
      <extLst>
        <ext xmlns:x15="http://schemas.microsoft.com/office/spreadsheetml/2010/11/main" uri="{B97F6D7D-B522-45F9-BDA1-12C45D357490}">
          <x15:cacheHierarchy aggregatedColumn="3"/>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name="Final Dashboard" uniqueName="[Final Dashboard]" caption="Final Dashboard"/>
    <dimension measure="1" name="Measures" uniqueName="[Measures]" caption="Measures"/>
    <dimension name="Table1" uniqueName="[Table1]" caption="Table1"/>
  </dimensions>
  <measureGroups count="2">
    <measureGroup name="Final Dashboard" caption="Final Dashboard"/>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press" refreshedDate="46057.149545138891" backgroundQuery="1" createdVersion="8" refreshedVersion="8" minRefreshableVersion="3" recordCount="0" supportSubquery="1" supportAdvancedDrill="1" xr:uid="{84DC105D-99AA-49C4-9FD2-79F3BDA942CC}">
  <cacheSource type="external" connectionId="2"/>
  <cacheFields count="3">
    <cacheField name="[Measures].[Sum of Total sales]" caption="Sum of Total sales" numFmtId="0" hierarchy="19" level="32767"/>
    <cacheField name="[Table1].[month2].[month2]" caption="month2" numFmtId="0" hierarchy="12" level="1">
      <sharedItems count="11">
        <s v="Apr"/>
        <s v="Aug"/>
        <s v="Feb"/>
        <s v="Jan"/>
        <s v="Jul"/>
        <s v="Jun"/>
        <s v="Mar"/>
        <s v="May"/>
        <s v="Nov"/>
        <s v="Oct"/>
        <s v="Sep"/>
      </sharedItems>
    </cacheField>
    <cacheField name="[Table1].[Product].[Product]" caption="Product" numFmtId="0" hierarchy="4" level="1">
      <sharedItems containsSemiMixedTypes="0" containsNonDate="0" containsString="0"/>
    </cacheField>
  </cacheFields>
  <cacheHierarchies count="28">
    <cacheHierarchy uniqueName="[Final Dashboard].[S]" caption="S" attribute="1" defaultMemberUniqueName="[Final Dashboard].[S].[All]" allUniqueName="[Final Dashboard].[S].[All]" dimensionUniqueName="[Final Dashboard]" displayFolder="" count="0" memberValueDatatype="130" unbalanced="0"/>
    <cacheHierarchy uniqueName="[Table1].[Order-ID]" caption="Order-ID" attribute="1" defaultMemberUniqueName="[Table1].[Order-ID].[All]" allUniqueName="[Table1].[Order-ID].[All]" dimensionUniqueName="[Table1]" displayFolder="" count="0" memberValueDatatype="20" unbalanced="0"/>
    <cacheHierarchy uniqueName="[Table1].[Sales Person]" caption="Sales Person" attribute="1" defaultMemberUniqueName="[Table1].[Sales Person].[All]" allUniqueName="[Table1].[Sales Person].[All]" dimensionUniqueName="[Table1]" displayFolder="" count="0" memberValueDatatype="130" unbalanced="0"/>
    <cacheHierarchy uniqueName="[Table1].[Geography]" caption="Geography" attribute="1" defaultMemberUniqueName="[Table1].[Geography].[All]" allUniqueName="[Table1].[Geograph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unit price]" caption="unit price" attribute="1" defaultMemberUniqueName="[Table1].[unit price].[All]" allUniqueName="[Table1].[unit 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Total sales]" caption="Total sales" attribute="1" defaultMemberUniqueName="[Table1].[Total sales].[All]" allUniqueName="[Table1].[Total sales].[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day2]" caption="day2" attribute="1" defaultMemberUniqueName="[Table1].[day2].[All]" allUniqueName="[Table1].[day2].[All]" dimensionUniqueName="[Table1]" displayFolder="" count="0" memberValueDatatype="130" unbalanced="0"/>
    <cacheHierarchy uniqueName="[Table1].[month]" caption="month" attribute="1" defaultMemberUniqueName="[Table1].[month].[All]" allUniqueName="[Table1].[month].[All]" dimensionUniqueName="[Table1]" displayFolder="" count="0" memberValueDatatype="20" unbalanced="0"/>
    <cacheHierarchy uniqueName="[Table1].[month2]" caption="month2" attribute="1" defaultMemberUniqueName="[Table1].[month2].[All]" allUniqueName="[Table1].[month2].[All]" dimensionUniqueName="[Table1]" displayFolder="" count="2" memberValueDatatype="130" unbalanced="0">
      <fieldsUsage count="2">
        <fieldUsage x="-1"/>
        <fieldUsage x="1"/>
      </fieldsUsage>
    </cacheHierarchy>
    <cacheHierarchy uniqueName="[Table1].[quarter]" caption="quarter" attribute="1" defaultMemberUniqueName="[Table1].[quarter].[All]" allUniqueName="[Table1].[quarter].[All]" dimensionUniqueName="[Table1]" displayFolder="" count="0" memberValueDatatype="20" unbalanced="0"/>
    <cacheHierarchy uniqueName="[Table1].[quarter2]" caption="quarter2" attribute="1" defaultMemberUniqueName="[Table1].[quarter2].[All]" allUniqueName="[Table1].[quarter2].[All]" dimensionUniqueName="[Table1]" displayFolder="" count="0" memberValueDatatype="130" unbalanced="0"/>
    <cacheHierarchy uniqueName="[Measures].[__XL_Count Table1]" caption="__XL_Count Table1" measure="1" displayFolder="" measureGroup="Table1" count="0" hidden="1"/>
    <cacheHierarchy uniqueName="[Measures].[__XL_Count Final Dashboard]" caption="__XL_Count Final Dashboard" measure="1" displayFolder="" measureGroup="Final Dashboard" count="0" hidden="1"/>
    <cacheHierarchy uniqueName="[Measures].[__No measures defined]" caption="__No measures defined" measure="1" displayFolder="" count="0" hidden="1"/>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11"/>
        </ext>
      </extLst>
    </cacheHierarchy>
    <cacheHierarchy uniqueName="[Measures].[Count of Sales Person]" caption="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Geography]" caption="Distinct Count of Geography" measure="1" displayFolder="" measureGroup="Table1" count="0" hidden="1">
      <extLst>
        <ext xmlns:x15="http://schemas.microsoft.com/office/spreadsheetml/2010/11/main" uri="{B97F6D7D-B522-45F9-BDA1-12C45D357490}">
          <x15:cacheHierarchy aggregatedColumn="3"/>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name="Final Dashboard" uniqueName="[Final Dashboard]" caption="Final Dashboard"/>
    <dimension measure="1" name="Measures" uniqueName="[Measures]" caption="Measures"/>
    <dimension name="Table1" uniqueName="[Table1]" caption="Table1"/>
  </dimensions>
  <measureGroups count="2">
    <measureGroup name="Final Dashboard" caption="Final Dashboard"/>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5985.713575578702" backgroundQuery="1" createdVersion="8" refreshedVersion="8" minRefreshableVersion="3" recordCount="0" supportSubquery="1" supportAdvancedDrill="1" xr:uid="{5EF546C3-296B-4D46-8311-97328F901625}">
  <cacheSource type="external" connectionId="2"/>
  <cacheFields count="1">
    <cacheField name="[Measures].[Distinct Count of Geography]" caption="Distinct Count of Geography" numFmtId="0" hierarchy="26" level="32767"/>
  </cacheFields>
  <cacheHierarchies count="28">
    <cacheHierarchy uniqueName="[Final Dashboard].[S]" caption="S" attribute="1" defaultMemberUniqueName="[Final Dashboard].[S].[All]" allUniqueName="[Final Dashboard].[S].[All]" dimensionUniqueName="[Final Dashboard]" displayFolder="" count="0" memberValueDatatype="130" unbalanced="0"/>
    <cacheHierarchy uniqueName="[Table1].[Order-ID]" caption="Order-ID" attribute="1" defaultMemberUniqueName="[Table1].[Order-ID].[All]" allUniqueName="[Table1].[Order-ID].[All]" dimensionUniqueName="[Table1]" displayFolder="" count="0" memberValueDatatype="20" unbalanced="0"/>
    <cacheHierarchy uniqueName="[Table1].[Sales Person]" caption="Sales Person" attribute="1" defaultMemberUniqueName="[Table1].[Sales Person].[All]" allUniqueName="[Table1].[Sales Person].[All]" dimensionUniqueName="[Table1]" displayFolder="" count="0" memberValueDatatype="130" unbalanced="0"/>
    <cacheHierarchy uniqueName="[Table1].[Geography]" caption="Geography" attribute="1" defaultMemberUniqueName="[Table1].[Geography].[All]" allUniqueName="[Table1].[Geograph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Total sales]" caption="Total sales" attribute="1" defaultMemberUniqueName="[Table1].[Total sales].[All]" allUniqueName="[Table1].[Total sales].[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day2]" caption="day2" attribute="1" defaultMemberUniqueName="[Table1].[day2].[All]" allUniqueName="[Table1].[day2].[All]" dimensionUniqueName="[Table1]" displayFolder="" count="0" memberValueDatatype="130" unbalanced="0"/>
    <cacheHierarchy uniqueName="[Table1].[month]" caption="month" attribute="1" defaultMemberUniqueName="[Table1].[month].[All]" allUniqueName="[Table1].[month].[All]" dimensionUniqueName="[Table1]" displayFolder="" count="0" memberValueDatatype="20" unbalanced="0"/>
    <cacheHierarchy uniqueName="[Table1].[month2]" caption="month2" attribute="1" defaultMemberUniqueName="[Table1].[month2].[All]" allUniqueName="[Table1].[month2].[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quarter2]" caption="quarter2" attribute="1" defaultMemberUniqueName="[Table1].[quarter2].[All]" allUniqueName="[Table1].[quarter2].[All]" dimensionUniqueName="[Table1]" displayFolder="" count="0" memberValueDatatype="130" unbalanced="0"/>
    <cacheHierarchy uniqueName="[Measures].[__XL_Count Table1]" caption="__XL_Count Table1" measure="1" displayFolder="" measureGroup="Table1" count="0" hidden="1"/>
    <cacheHierarchy uniqueName="[Measures].[__XL_Count Final Dashboard]" caption="__XL_Count Final Dashboard" measure="1" displayFolder="" measureGroup="Final Dashboard" count="0" hidden="1"/>
    <cacheHierarchy uniqueName="[Measures].[__No measures defined]" caption="__No measures defined" measure="1" displayFolder="" count="0" hidden="1"/>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8"/>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11"/>
        </ext>
      </extLst>
    </cacheHierarchy>
    <cacheHierarchy uniqueName="[Measures].[Count of Sales Person]" caption="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Geography]" caption="Distinct Count of Geography"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name="Final Dashboard" uniqueName="[Final Dashboard]" caption="Final Dashboard"/>
    <dimension measure="1" name="Measures" uniqueName="[Measures]" caption="Measures"/>
    <dimension name="Table1" uniqueName="[Table1]" caption="Table1"/>
  </dimensions>
  <measureGroups count="2">
    <measureGroup name="Final Dashboard" caption="Final Dashboard"/>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5985.713367245371" backgroundQuery="1" createdVersion="8" refreshedVersion="8" minRefreshableVersion="3" recordCount="0" supportSubquery="1" supportAdvancedDrill="1" xr:uid="{AA46026E-9821-4F13-8D5B-437F01A05B21}">
  <cacheSource type="external" connectionId="2"/>
  <cacheFields count="1">
    <cacheField name="[Measures].[Distinct Count of Product]" caption="Distinct Count of Product" numFmtId="0" hierarchy="24" level="32767"/>
  </cacheFields>
  <cacheHierarchies count="28">
    <cacheHierarchy uniqueName="[Final Dashboard].[S]" caption="S" attribute="1" defaultMemberUniqueName="[Final Dashboard].[S].[All]" allUniqueName="[Final Dashboard].[S].[All]" dimensionUniqueName="[Final Dashboard]" displayFolder="" count="0" memberValueDatatype="130" unbalanced="0"/>
    <cacheHierarchy uniqueName="[Table1].[Order-ID]" caption="Order-ID" attribute="1" defaultMemberUniqueName="[Table1].[Order-ID].[All]" allUniqueName="[Table1].[Order-ID].[All]" dimensionUniqueName="[Table1]" displayFolder="" count="0" memberValueDatatype="20" unbalanced="0"/>
    <cacheHierarchy uniqueName="[Table1].[Sales Person]" caption="Sales Person" attribute="1" defaultMemberUniqueName="[Table1].[Sales Person].[All]" allUniqueName="[Table1].[Sales Person].[All]" dimensionUniqueName="[Table1]" displayFolder="" count="0" memberValueDatatype="130" unbalanced="0"/>
    <cacheHierarchy uniqueName="[Table1].[Geography]" caption="Geography" attribute="1" defaultMemberUniqueName="[Table1].[Geography].[All]" allUniqueName="[Table1].[Geograph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Total sales]" caption="Total sales" attribute="1" defaultMemberUniqueName="[Table1].[Total sales].[All]" allUniqueName="[Table1].[Total sales].[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day2]" caption="day2" attribute="1" defaultMemberUniqueName="[Table1].[day2].[All]" allUniqueName="[Table1].[day2].[All]" dimensionUniqueName="[Table1]" displayFolder="" count="0" memberValueDatatype="130" unbalanced="0"/>
    <cacheHierarchy uniqueName="[Table1].[month]" caption="month" attribute="1" defaultMemberUniqueName="[Table1].[month].[All]" allUniqueName="[Table1].[month].[All]" dimensionUniqueName="[Table1]" displayFolder="" count="0" memberValueDatatype="20" unbalanced="0"/>
    <cacheHierarchy uniqueName="[Table1].[month2]" caption="month2" attribute="1" defaultMemberUniqueName="[Table1].[month2].[All]" allUniqueName="[Table1].[month2].[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quarter2]" caption="quarter2" attribute="1" defaultMemberUniqueName="[Table1].[quarter2].[All]" allUniqueName="[Table1].[quarter2].[All]" dimensionUniqueName="[Table1]" displayFolder="" count="0" memberValueDatatype="130" unbalanced="0"/>
    <cacheHierarchy uniqueName="[Measures].[__XL_Count Table1]" caption="__XL_Count Table1" measure="1" displayFolder="" measureGroup="Table1" count="0" hidden="1"/>
    <cacheHierarchy uniqueName="[Measures].[__XL_Count Final Dashboard]" caption="__XL_Count Final Dashboard" measure="1" displayFolder="" measureGroup="Final Dashboard" count="0" hidden="1"/>
    <cacheHierarchy uniqueName="[Measures].[__No measures defined]" caption="__No measures defined" measure="1" displayFolder="" count="0" hidden="1"/>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8"/>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11"/>
        </ext>
      </extLst>
    </cacheHierarchy>
    <cacheHierarchy uniqueName="[Measures].[Count of Sales Person]" caption="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Geography]" caption="Distinct Count of Geography" measure="1" displayFolder="" measureGroup="Table1" count="0" hidden="1">
      <extLst>
        <ext xmlns:x15="http://schemas.microsoft.com/office/spreadsheetml/2010/11/main" uri="{B97F6D7D-B522-45F9-BDA1-12C45D357490}">
          <x15:cacheHierarchy aggregatedColumn="3"/>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name="Final Dashboard" uniqueName="[Final Dashboard]" caption="Final Dashboard"/>
    <dimension measure="1" name="Measures" uniqueName="[Measures]" caption="Measures"/>
    <dimension name="Table1" uniqueName="[Table1]" caption="Table1"/>
  </dimensions>
  <measureGroups count="2">
    <measureGroup name="Final Dashboard" caption="Final Dashboard"/>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press" refreshedDate="45989.986136226849" backgroundQuery="1" createdVersion="8" refreshedVersion="8" minRefreshableVersion="3" recordCount="0" supportSubquery="1" supportAdvancedDrill="1" xr:uid="{4796D86F-EC11-424A-B83C-493784970A4C}">
  <cacheSource type="external" connectionId="2"/>
  <cacheFields count="2">
    <cacheField name="[Table1].[Sales Person].[Sales Person]" caption="Sales Person" numFmtId="0" hierarchy="2" level="1">
      <sharedItems count="10">
        <s v="Abd alrahman mohamed"/>
        <s v="Ahmed said"/>
        <s v="Hassan ahmed"/>
        <s v="Hesham gamal"/>
        <s v="Husein Augar"/>
        <s v="Mohamed Ali"/>
        <s v="Mohamed galal"/>
        <s v="Rahma mostafa"/>
        <s v="Samira mostafa"/>
        <s v="Sara khaled"/>
      </sharedItems>
    </cacheField>
    <cacheField name="[Measures].[Sum of Total sales]" caption="Sum of Total sales" numFmtId="0" hierarchy="19" level="32767"/>
  </cacheFields>
  <cacheHierarchies count="28">
    <cacheHierarchy uniqueName="[Final Dashboard].[S]" caption="S" attribute="1" defaultMemberUniqueName="[Final Dashboard].[S].[All]" allUniqueName="[Final Dashboard].[S].[All]" dimensionUniqueName="[Final Dashboard]" displayFolder="" count="0" memberValueDatatype="130" unbalanced="0"/>
    <cacheHierarchy uniqueName="[Table1].[Order-ID]" caption="Order-ID" attribute="1" defaultMemberUniqueName="[Table1].[Order-ID].[All]" allUniqueName="[Table1].[Order-ID].[All]" dimensionUniqueName="[Table1]" displayFolder="" count="0" memberValueDatatype="20" unbalanced="0"/>
    <cacheHierarchy uniqueName="[Table1].[Sales Person]" caption="Sales Person" attribute="1" defaultMemberUniqueName="[Table1].[Sales Person].[All]" allUniqueName="[Table1].[Sales Person].[All]" dimensionUniqueName="[Table1]" displayFolder="" count="2" memberValueDatatype="130" unbalanced="0">
      <fieldsUsage count="2">
        <fieldUsage x="-1"/>
        <fieldUsage x="0"/>
      </fieldsUsage>
    </cacheHierarchy>
    <cacheHierarchy uniqueName="[Table1].[Geography]" caption="Geography" attribute="1" defaultMemberUniqueName="[Table1].[Geography].[All]" allUniqueName="[Table1].[Geograph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Total sales]" caption="Total sales" attribute="1" defaultMemberUniqueName="[Table1].[Total sales].[All]" allUniqueName="[Table1].[Total sales].[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day2]" caption="day2" attribute="1" defaultMemberUniqueName="[Table1].[day2].[All]" allUniqueName="[Table1].[day2].[All]" dimensionUniqueName="[Table1]" displayFolder="" count="0" memberValueDatatype="130" unbalanced="0"/>
    <cacheHierarchy uniqueName="[Table1].[month]" caption="month" attribute="1" defaultMemberUniqueName="[Table1].[month].[All]" allUniqueName="[Table1].[month].[All]" dimensionUniqueName="[Table1]" displayFolder="" count="0" memberValueDatatype="20" unbalanced="0"/>
    <cacheHierarchy uniqueName="[Table1].[month2]" caption="month2" attribute="1" defaultMemberUniqueName="[Table1].[month2].[All]" allUniqueName="[Table1].[month2].[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quarter2]" caption="quarter2" attribute="1" defaultMemberUniqueName="[Table1].[quarter2].[All]" allUniqueName="[Table1].[quarter2].[All]" dimensionUniqueName="[Table1]" displayFolder="" count="0" memberValueDatatype="130" unbalanced="0"/>
    <cacheHierarchy uniqueName="[Measures].[__XL_Count Table1]" caption="__XL_Count Table1" measure="1" displayFolder="" measureGroup="Table1" count="0" hidden="1"/>
    <cacheHierarchy uniqueName="[Measures].[__XL_Count Final Dashboard]" caption="__XL_Count Final Dashboard" measure="1" displayFolder="" measureGroup="Final Dashboard" count="0" hidden="1"/>
    <cacheHierarchy uniqueName="[Measures].[__No measures defined]" caption="__No measures defined" measure="1" displayFolder="" count="0" hidden="1"/>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11"/>
        </ext>
      </extLst>
    </cacheHierarchy>
    <cacheHierarchy uniqueName="[Measures].[Count of Sales Person]" caption="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Geography]" caption="Distinct Count of Geography" measure="1" displayFolder="" measureGroup="Table1" count="0" hidden="1">
      <extLst>
        <ext xmlns:x15="http://schemas.microsoft.com/office/spreadsheetml/2010/11/main" uri="{B97F6D7D-B522-45F9-BDA1-12C45D357490}">
          <x15:cacheHierarchy aggregatedColumn="3"/>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name="Final Dashboard" uniqueName="[Final Dashboard]" caption="Final Dashboard"/>
    <dimension measure="1" name="Measures" uniqueName="[Measures]" caption="Measures"/>
    <dimension name="Table1" uniqueName="[Table1]" caption="Table1"/>
  </dimensions>
  <measureGroups count="2">
    <measureGroup name="Final Dashboard" caption="Final Dashboard"/>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5985.704508680552" backgroundQuery="1" createdVersion="8" refreshedVersion="8" minRefreshableVersion="3" recordCount="0" supportSubquery="1" supportAdvancedDrill="1" xr:uid="{71F7B073-A437-4773-901F-0B8A7861DAF4}">
  <cacheSource type="external" connectionId="2"/>
  <cacheFields count="2">
    <cacheField name="[Table1].[Sales Person].[Sales Person]" caption="Sales Person" numFmtId="0" hierarchy="2" level="1">
      <sharedItems count="10">
        <s v="Abd alrahman mohamed"/>
        <s v="Ahmed said"/>
        <s v="Hassan ahmed"/>
        <s v="Hesham gamal"/>
        <s v="Husein Augar"/>
        <s v="Mohamed Ali"/>
        <s v="Mohamed galal"/>
        <s v="Rahma mostafa"/>
        <s v="Samira mostafa"/>
        <s v="Sara khaled"/>
      </sharedItems>
    </cacheField>
    <cacheField name="[Measures].[Sum of Units]" caption="Sum of Units" numFmtId="0" hierarchy="18" level="32767"/>
  </cacheFields>
  <cacheHierarchies count="28">
    <cacheHierarchy uniqueName="[Final Dashboard].[S]" caption="S" attribute="1" defaultMemberUniqueName="[Final Dashboard].[S].[All]" allUniqueName="[Final Dashboard].[S].[All]" dimensionUniqueName="[Final Dashboard]" displayFolder="" count="0" memberValueDatatype="130" unbalanced="0"/>
    <cacheHierarchy uniqueName="[Table1].[Order-ID]" caption="Order-ID" attribute="1" defaultMemberUniqueName="[Table1].[Order-ID].[All]" allUniqueName="[Table1].[Order-ID].[All]" dimensionUniqueName="[Table1]" displayFolder="" count="0" memberValueDatatype="20" unbalanced="0"/>
    <cacheHierarchy uniqueName="[Table1].[Sales Person]" caption="Sales Person" attribute="1" defaultMemberUniqueName="[Table1].[Sales Person].[All]" allUniqueName="[Table1].[Sales Person].[All]" dimensionUniqueName="[Table1]" displayFolder="" count="2" memberValueDatatype="130" unbalanced="0">
      <fieldsUsage count="2">
        <fieldUsage x="-1"/>
        <fieldUsage x="0"/>
      </fieldsUsage>
    </cacheHierarchy>
    <cacheHierarchy uniqueName="[Table1].[Geography]" caption="Geography" attribute="1" defaultMemberUniqueName="[Table1].[Geography].[All]" allUniqueName="[Table1].[Geograph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Total sales]" caption="Total sales" attribute="1" defaultMemberUniqueName="[Table1].[Total sales].[All]" allUniqueName="[Table1].[Total sales].[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day2]" caption="day2" attribute="1" defaultMemberUniqueName="[Table1].[day2].[All]" allUniqueName="[Table1].[day2].[All]" dimensionUniqueName="[Table1]" displayFolder="" count="0" memberValueDatatype="130" unbalanced="0"/>
    <cacheHierarchy uniqueName="[Table1].[month]" caption="month" attribute="1" defaultMemberUniqueName="[Table1].[month].[All]" allUniqueName="[Table1].[month].[All]" dimensionUniqueName="[Table1]" displayFolder="" count="0" memberValueDatatype="20" unbalanced="0"/>
    <cacheHierarchy uniqueName="[Table1].[month2]" caption="month2" attribute="1" defaultMemberUniqueName="[Table1].[month2].[All]" allUniqueName="[Table1].[month2].[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quarter2]" caption="quarter2" attribute="1" defaultMemberUniqueName="[Table1].[quarter2].[All]" allUniqueName="[Table1].[quarter2].[All]" dimensionUniqueName="[Table1]" displayFolder="" count="0" memberValueDatatype="130" unbalanced="0"/>
    <cacheHierarchy uniqueName="[Measures].[__XL_Count Table1]" caption="__XL_Count Table1" measure="1" displayFolder="" measureGroup="Table1" count="0" hidden="1"/>
    <cacheHierarchy uniqueName="[Measures].[__XL_Count Final Dashboard]" caption="__XL_Count Final Dashboard" measure="1" displayFolder="" measureGroup="Final Dashboard" count="0" hidden="1"/>
    <cacheHierarchy uniqueName="[Measures].[__No measures defined]" caption="__No measures defined" measure="1" displayFolder="" count="0" hidden="1"/>
    <cacheHierarchy uniqueName="[Measures].[Sum of Units]" caption="Sum of Units"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8"/>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11"/>
        </ext>
      </extLst>
    </cacheHierarchy>
    <cacheHierarchy uniqueName="[Measures].[Count of Sales Person]" caption="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Geography]" caption="Distinct Count of Geography" measure="1" displayFolder="" measureGroup="Table1" count="0" hidden="1">
      <extLst>
        <ext xmlns:x15="http://schemas.microsoft.com/office/spreadsheetml/2010/11/main" uri="{B97F6D7D-B522-45F9-BDA1-12C45D357490}">
          <x15:cacheHierarchy aggregatedColumn="3"/>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name="Final Dashboard" uniqueName="[Final Dashboard]" caption="Final Dashboard"/>
    <dimension measure="1" name="Measures" uniqueName="[Measures]" caption="Measures"/>
    <dimension name="Table1" uniqueName="[Table1]" caption="Table1"/>
  </dimensions>
  <measureGroups count="2">
    <measureGroup name="Final Dashboard" caption="Final Dashboard"/>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5985.713687384261" backgroundQuery="1" createdVersion="8" refreshedVersion="8" minRefreshableVersion="3" recordCount="0" supportSubquery="1" supportAdvancedDrill="1" xr:uid="{96BD64DC-751B-4E46-9164-24DA7B5DE2E4}">
  <cacheSource type="external" connectionId="2"/>
  <cacheFields count="1">
    <cacheField name="[Measures].[Sum of Total sales]" caption="Sum of Total sales" numFmtId="0" hierarchy="19" level="32767"/>
  </cacheFields>
  <cacheHierarchies count="28">
    <cacheHierarchy uniqueName="[Final Dashboard].[S]" caption="S" attribute="1" defaultMemberUniqueName="[Final Dashboard].[S].[All]" allUniqueName="[Final Dashboard].[S].[All]" dimensionUniqueName="[Final Dashboard]" displayFolder="" count="0" memberValueDatatype="130" unbalanced="0"/>
    <cacheHierarchy uniqueName="[Table1].[Order-ID]" caption="Order-ID" attribute="1" defaultMemberUniqueName="[Table1].[Order-ID].[All]" allUniqueName="[Table1].[Order-ID].[All]" dimensionUniqueName="[Table1]" displayFolder="" count="0" memberValueDatatype="20" unbalanced="0"/>
    <cacheHierarchy uniqueName="[Table1].[Sales Person]" caption="Sales Person" attribute="1" defaultMemberUniqueName="[Table1].[Sales Person].[All]" allUniqueName="[Table1].[Sales Person].[All]" dimensionUniqueName="[Table1]" displayFolder="" count="0" memberValueDatatype="130" unbalanced="0"/>
    <cacheHierarchy uniqueName="[Table1].[Geography]" caption="Geography" attribute="1" defaultMemberUniqueName="[Table1].[Geography].[All]" allUniqueName="[Table1].[Geograph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Total sales]" caption="Total sales" attribute="1" defaultMemberUniqueName="[Table1].[Total sales].[All]" allUniqueName="[Table1].[Total sales].[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day2]" caption="day2" attribute="1" defaultMemberUniqueName="[Table1].[day2].[All]" allUniqueName="[Table1].[day2].[All]" dimensionUniqueName="[Table1]" displayFolder="" count="0" memberValueDatatype="130" unbalanced="0"/>
    <cacheHierarchy uniqueName="[Table1].[month]" caption="month" attribute="1" defaultMemberUniqueName="[Table1].[month].[All]" allUniqueName="[Table1].[month].[All]" dimensionUniqueName="[Table1]" displayFolder="" count="0" memberValueDatatype="20" unbalanced="0"/>
    <cacheHierarchy uniqueName="[Table1].[month2]" caption="month2" attribute="1" defaultMemberUniqueName="[Table1].[month2].[All]" allUniqueName="[Table1].[month2].[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quarter2]" caption="quarter2" attribute="1" defaultMemberUniqueName="[Table1].[quarter2].[All]" allUniqueName="[Table1].[quarter2].[All]" dimensionUniqueName="[Table1]" displayFolder="" count="0" memberValueDatatype="130" unbalanced="0"/>
    <cacheHierarchy uniqueName="[Measures].[__XL_Count Table1]" caption="__XL_Count Table1" measure="1" displayFolder="" measureGroup="Table1" count="0" hidden="1"/>
    <cacheHierarchy uniqueName="[Measures].[__XL_Count Final Dashboard]" caption="__XL_Count Final Dashboard" measure="1" displayFolder="" measureGroup="Final Dashboard" count="0" hidden="1"/>
    <cacheHierarchy uniqueName="[Measures].[__No measures defined]" caption="__No measures defined" measure="1" displayFolder="" count="0" hidden="1"/>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11"/>
        </ext>
      </extLst>
    </cacheHierarchy>
    <cacheHierarchy uniqueName="[Measures].[Count of Sales Person]" caption="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Geography]" caption="Distinct Count of Geography" measure="1" displayFolder="" measureGroup="Table1" count="0" hidden="1">
      <extLst>
        <ext xmlns:x15="http://schemas.microsoft.com/office/spreadsheetml/2010/11/main" uri="{B97F6D7D-B522-45F9-BDA1-12C45D357490}">
          <x15:cacheHierarchy aggregatedColumn="3"/>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name="Final Dashboard" uniqueName="[Final Dashboard]" caption="Final Dashboard"/>
    <dimension measure="1" name="Measures" uniqueName="[Measures]" caption="Measures"/>
    <dimension name="Table1" uniqueName="[Table1]" caption="Table1"/>
  </dimensions>
  <measureGroups count="2">
    <measureGroup name="Final Dashboard" caption="Final Dashboard"/>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5985.713200347222" backgroundQuery="1" createdVersion="8" refreshedVersion="8" minRefreshableVersion="3" recordCount="0" supportSubquery="1" supportAdvancedDrill="1" xr:uid="{D324D07B-51F6-43EF-B796-734FA211E50D}">
  <cacheSource type="external" connectionId="2"/>
  <cacheFields count="1">
    <cacheField name="[Measures].[Distinct Count of Sales Person]" caption="Distinct Count of Sales Person" numFmtId="0" hierarchy="22" level="32767"/>
  </cacheFields>
  <cacheHierarchies count="28">
    <cacheHierarchy uniqueName="[Final Dashboard].[S]" caption="S" attribute="1" defaultMemberUniqueName="[Final Dashboard].[S].[All]" allUniqueName="[Final Dashboard].[S].[All]" dimensionUniqueName="[Final Dashboard]" displayFolder="" count="0" memberValueDatatype="130" unbalanced="0"/>
    <cacheHierarchy uniqueName="[Table1].[Order-ID]" caption="Order-ID" attribute="1" defaultMemberUniqueName="[Table1].[Order-ID].[All]" allUniqueName="[Table1].[Order-ID].[All]" dimensionUniqueName="[Table1]" displayFolder="" count="0" memberValueDatatype="20" unbalanced="0"/>
    <cacheHierarchy uniqueName="[Table1].[Sales Person]" caption="Sales Person" attribute="1" defaultMemberUniqueName="[Table1].[Sales Person].[All]" allUniqueName="[Table1].[Sales Person].[All]" dimensionUniqueName="[Table1]" displayFolder="" count="0" memberValueDatatype="130" unbalanced="0"/>
    <cacheHierarchy uniqueName="[Table1].[Geography]" caption="Geography" attribute="1" defaultMemberUniqueName="[Table1].[Geography].[All]" allUniqueName="[Table1].[Geograph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Total sales]" caption="Total sales" attribute="1" defaultMemberUniqueName="[Table1].[Total sales].[All]" allUniqueName="[Table1].[Total sales].[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day2]" caption="day2" attribute="1" defaultMemberUniqueName="[Table1].[day2].[All]" allUniqueName="[Table1].[day2].[All]" dimensionUniqueName="[Table1]" displayFolder="" count="0" memberValueDatatype="130" unbalanced="0"/>
    <cacheHierarchy uniqueName="[Table1].[month]" caption="month" attribute="1" defaultMemberUniqueName="[Table1].[month].[All]" allUniqueName="[Table1].[month].[All]" dimensionUniqueName="[Table1]" displayFolder="" count="0" memberValueDatatype="20" unbalanced="0"/>
    <cacheHierarchy uniqueName="[Table1].[month2]" caption="month2" attribute="1" defaultMemberUniqueName="[Table1].[month2].[All]" allUniqueName="[Table1].[month2].[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quarter2]" caption="quarter2" attribute="1" defaultMemberUniqueName="[Table1].[quarter2].[All]" allUniqueName="[Table1].[quarter2].[All]" dimensionUniqueName="[Table1]" displayFolder="" count="0" memberValueDatatype="130" unbalanced="0"/>
    <cacheHierarchy uniqueName="[Measures].[__XL_Count Table1]" caption="__XL_Count Table1" measure="1" displayFolder="" measureGroup="Table1" count="0" hidden="1"/>
    <cacheHierarchy uniqueName="[Measures].[__XL_Count Final Dashboard]" caption="__XL_Count Final Dashboard" measure="1" displayFolder="" measureGroup="Final Dashboard" count="0" hidden="1"/>
    <cacheHierarchy uniqueName="[Measures].[__No measures defined]" caption="__No measures defined" measure="1" displayFolder="" count="0" hidden="1"/>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8"/>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11"/>
        </ext>
      </extLst>
    </cacheHierarchy>
    <cacheHierarchy uniqueName="[Measures].[Count of Sales Person]" caption="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Geography]" caption="Distinct Count of Geography" measure="1" displayFolder="" measureGroup="Table1" count="0" hidden="1">
      <extLst>
        <ext xmlns:x15="http://schemas.microsoft.com/office/spreadsheetml/2010/11/main" uri="{B97F6D7D-B522-45F9-BDA1-12C45D357490}">
          <x15:cacheHierarchy aggregatedColumn="3"/>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name="Final Dashboard" uniqueName="[Final Dashboard]" caption="Final Dashboard"/>
    <dimension measure="1" name="Measures" uniqueName="[Measures]" caption="Measures"/>
    <dimension name="Table1" uniqueName="[Table1]" caption="Table1"/>
  </dimensions>
  <measureGroups count="2">
    <measureGroup name="Final Dashboard" caption="Final Dashboard"/>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5985.70450983796" backgroundQuery="1" createdVersion="8" refreshedVersion="8" minRefreshableVersion="3" recordCount="0" supportSubquery="1" supportAdvancedDrill="1" xr:uid="{8B859870-6927-4040-9E3B-2D8D0D8B89F9}">
  <cacheSource type="external" connectionId="2"/>
  <cacheFields count="2">
    <cacheField name="[Table1].[Product].[Product]" caption="Product" numFmtId="0" hierarchy="4" level="1">
      <sharedItems count="10">
        <s v="70% Dark Bites"/>
        <s v="Baker's Choco Chips"/>
        <s v="Caramel Stuffed Bars"/>
        <s v="Choco Coated Almonds"/>
        <s v="Manuka Honey Choco"/>
        <s v="Orange Choco"/>
        <s v="Organic Choco Syrup"/>
        <s v="Peanut Butter Cubes"/>
        <s v="Raspberry Choco"/>
        <s v="Smooth Sliky Salty"/>
      </sharedItems>
    </cacheField>
    <cacheField name="[Measures].[Sum of Total sales]" caption="Sum of Total sales" numFmtId="0" hierarchy="19" level="32767"/>
  </cacheFields>
  <cacheHierarchies count="28">
    <cacheHierarchy uniqueName="[Final Dashboard].[S]" caption="S" attribute="1" defaultMemberUniqueName="[Final Dashboard].[S].[All]" allUniqueName="[Final Dashboard].[S].[All]" dimensionUniqueName="[Final Dashboard]" displayFolder="" count="0" memberValueDatatype="130" unbalanced="0"/>
    <cacheHierarchy uniqueName="[Table1].[Order-ID]" caption="Order-ID" attribute="1" defaultMemberUniqueName="[Table1].[Order-ID].[All]" allUniqueName="[Table1].[Order-ID].[All]" dimensionUniqueName="[Table1]" displayFolder="" count="0" memberValueDatatype="20" unbalanced="0"/>
    <cacheHierarchy uniqueName="[Table1].[Sales Person]" caption="Sales Person" attribute="1" defaultMemberUniqueName="[Table1].[Sales Person].[All]" allUniqueName="[Table1].[Sales Person].[All]" dimensionUniqueName="[Table1]" displayFolder="" count="0" memberValueDatatype="130" unbalanced="0"/>
    <cacheHierarchy uniqueName="[Table1].[Geography]" caption="Geography" attribute="1" defaultMemberUniqueName="[Table1].[Geography].[All]" allUniqueName="[Table1].[Geograph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unit price]" caption="unit price" attribute="1" defaultMemberUniqueName="[Table1].[unit price].[All]" allUniqueName="[Table1].[unit 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Total sales]" caption="Total sales" attribute="1" defaultMemberUniqueName="[Table1].[Total sales].[All]" allUniqueName="[Table1].[Total sales].[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day2]" caption="day2" attribute="1" defaultMemberUniqueName="[Table1].[day2].[All]" allUniqueName="[Table1].[day2].[All]" dimensionUniqueName="[Table1]" displayFolder="" count="0" memberValueDatatype="130" unbalanced="0"/>
    <cacheHierarchy uniqueName="[Table1].[month]" caption="month" attribute="1" defaultMemberUniqueName="[Table1].[month].[All]" allUniqueName="[Table1].[month].[All]" dimensionUniqueName="[Table1]" displayFolder="" count="0" memberValueDatatype="20" unbalanced="0"/>
    <cacheHierarchy uniqueName="[Table1].[month2]" caption="month2" attribute="1" defaultMemberUniqueName="[Table1].[month2].[All]" allUniqueName="[Table1].[month2].[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quarter2]" caption="quarter2" attribute="1" defaultMemberUniqueName="[Table1].[quarter2].[All]" allUniqueName="[Table1].[quarter2].[All]" dimensionUniqueName="[Table1]" displayFolder="" count="0" memberValueDatatype="130" unbalanced="0"/>
    <cacheHierarchy uniqueName="[Measures].[__XL_Count Table1]" caption="__XL_Count Table1" measure="1" displayFolder="" measureGroup="Table1" count="0" hidden="1"/>
    <cacheHierarchy uniqueName="[Measures].[__XL_Count Final Dashboard]" caption="__XL_Count Final Dashboard" measure="1" displayFolder="" measureGroup="Final Dashboard" count="0" hidden="1"/>
    <cacheHierarchy uniqueName="[Measures].[__No measures defined]" caption="__No measures defined" measure="1" displayFolder="" count="0" hidden="1"/>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11"/>
        </ext>
      </extLst>
    </cacheHierarchy>
    <cacheHierarchy uniqueName="[Measures].[Count of Sales Person]" caption="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Geography]" caption="Distinct Count of Geography" measure="1" displayFolder="" measureGroup="Table1" count="0" hidden="1">
      <extLst>
        <ext xmlns:x15="http://schemas.microsoft.com/office/spreadsheetml/2010/11/main" uri="{B97F6D7D-B522-45F9-BDA1-12C45D357490}">
          <x15:cacheHierarchy aggregatedColumn="3"/>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name="Final Dashboard" uniqueName="[Final Dashboard]" caption="Final Dashboard"/>
    <dimension measure="1" name="Measures" uniqueName="[Measures]" caption="Measures"/>
    <dimension name="Table1" uniqueName="[Table1]" caption="Table1"/>
  </dimensions>
  <measureGroups count="2">
    <measureGroup name="Final Dashboard" caption="Final Dashboard"/>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press" refreshedDate="46057.14928287037" backgroundQuery="1" createdVersion="3" refreshedVersion="8" minRefreshableVersion="3" recordCount="0" supportSubquery="1" supportAdvancedDrill="1" xr:uid="{83DA860F-10C0-4AEE-9E74-88A083462589}">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Final Dashboard].[S]" caption="S" attribute="1" defaultMemberUniqueName="[Final Dashboard].[S].[All]" allUniqueName="[Final Dashboard].[S].[All]" dimensionUniqueName="[Final Dashboard]" displayFolder="" count="0" memberValueDatatype="130" unbalanced="0"/>
    <cacheHierarchy uniqueName="[Table1].[Order-ID]" caption="Order-ID" attribute="1" defaultMemberUniqueName="[Table1].[Order-ID].[All]" allUniqueName="[Table1].[Order-ID].[All]" dimensionUniqueName="[Table1]" displayFolder="" count="0" memberValueDatatype="20" unbalanced="0"/>
    <cacheHierarchy uniqueName="[Table1].[Sales Person]" caption="Sales Person" attribute="1" defaultMemberUniqueName="[Table1].[Sales Person].[All]" allUniqueName="[Table1].[Sales Person].[All]" dimensionUniqueName="[Table1]" displayFolder="" count="0" memberValueDatatype="130" unbalanced="0"/>
    <cacheHierarchy uniqueName="[Table1].[Geography]" caption="Geography" attribute="1" defaultMemberUniqueName="[Table1].[Geography].[All]" allUniqueName="[Table1].[Geograph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20" unbalanced="0"/>
    <cacheHierarchy uniqueName="[Table1].[Units]" caption="Units" attribute="1" defaultMemberUniqueName="[Table1].[Units].[All]" allUniqueName="[Table1].[Units].[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Total sales]" caption="Total sales" attribute="1" defaultMemberUniqueName="[Table1].[Total sales].[All]" allUniqueName="[Table1].[Total sales].[All]" dimensionUniqueName="[Table1]" displayFolder="" count="0" memberValueDatatype="20" unbalanced="0"/>
    <cacheHierarchy uniqueName="[Table1].[day]" caption="day" attribute="1" defaultMemberUniqueName="[Table1].[day].[All]" allUniqueName="[Table1].[day].[All]" dimensionUniqueName="[Table1]" displayFolder="" count="0" memberValueDatatype="20" unbalanced="0"/>
    <cacheHierarchy uniqueName="[Table1].[day2]" caption="day2" attribute="1" defaultMemberUniqueName="[Table1].[day2].[All]" allUniqueName="[Table1].[day2].[All]" dimensionUniqueName="[Table1]" displayFolder="" count="0" memberValueDatatype="130" unbalanced="0"/>
    <cacheHierarchy uniqueName="[Table1].[month]" caption="month" attribute="1" defaultMemberUniqueName="[Table1].[month].[All]" allUniqueName="[Table1].[month].[All]" dimensionUniqueName="[Table1]" displayFolder="" count="0" memberValueDatatype="20" unbalanced="0"/>
    <cacheHierarchy uniqueName="[Table1].[month2]" caption="month2" attribute="1" defaultMemberUniqueName="[Table1].[month2].[All]" allUniqueName="[Table1].[month2].[All]" dimensionUniqueName="[Table1]" displayFolder="" count="0" memberValueDatatype="130" unbalanced="0"/>
    <cacheHierarchy uniqueName="[Table1].[quarter]" caption="quarter" attribute="1" defaultMemberUniqueName="[Table1].[quarter].[All]" allUniqueName="[Table1].[quarter].[All]" dimensionUniqueName="[Table1]" displayFolder="" count="0" memberValueDatatype="20" unbalanced="0"/>
    <cacheHierarchy uniqueName="[Table1].[quarter2]" caption="quarter2" attribute="1" defaultMemberUniqueName="[Table1].[quarter2].[All]" allUniqueName="[Table1].[quarter2].[All]" dimensionUniqueName="[Table1]" displayFolder="" count="0" memberValueDatatype="130" unbalanced="0"/>
    <cacheHierarchy uniqueName="[Measures].[__XL_Count Table1]" caption="__XL_Count Table1" measure="1" displayFolder="" measureGroup="Table1" count="0" hidden="1"/>
    <cacheHierarchy uniqueName="[Measures].[__XL_Count Final Dashboard]" caption="__XL_Count Final Dashboard" measure="1" displayFolder="" measureGroup="Final Dashboard" count="0" hidden="1"/>
    <cacheHierarchy uniqueName="[Measures].[__No measures defined]" caption="__No measures defined" measure="1" displayFolder="" count="0" hidden="1"/>
    <cacheHierarchy uniqueName="[Measures].[Sum of Units]" caption="Sum of Units" measure="1" displayFolder="" measureGroup="Table1" count="0" hidden="1">
      <extLst>
        <ext xmlns:x15="http://schemas.microsoft.com/office/spreadsheetml/2010/11/main" uri="{B97F6D7D-B522-45F9-BDA1-12C45D357490}">
          <x15:cacheHierarchy aggregatedColumn="6"/>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8"/>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11"/>
        </ext>
      </extLst>
    </cacheHierarchy>
    <cacheHierarchy uniqueName="[Measures].[Count of Sales Person]" caption="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Distinct Count of Sales Person]" caption="Distinct Count of Sales Person"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4"/>
        </ext>
      </extLst>
    </cacheHierarchy>
    <cacheHierarchy uniqueName="[Measures].[Count of Geography]" caption="Count of Geograph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Geography]" caption="Distinct Count of Geography" measure="1" displayFolder="" measureGroup="Table1" count="0" hidden="1">
      <extLst>
        <ext xmlns:x15="http://schemas.microsoft.com/office/spreadsheetml/2010/11/main" uri="{B97F6D7D-B522-45F9-BDA1-12C45D357490}">
          <x15:cacheHierarchy aggregatedColumn="3"/>
        </ext>
      </extLst>
    </cacheHierarchy>
    <cacheHierarchy uniqueName="[Measures].[Sum of Order-ID]" caption="Sum of Order-ID" measure="1" displayFolder="" measureGroup="Table1" count="0" hidden="1">
      <extLst>
        <ext xmlns:x15="http://schemas.microsoft.com/office/spreadsheetml/2010/11/main" uri="{B97F6D7D-B522-45F9-BDA1-12C45D357490}">
          <x15:cacheHierarchy aggregatedColumn="1"/>
        </ext>
      </extLst>
    </cacheHierarchy>
  </cacheHierarchies>
  <kpis count="0"/>
  <dimensions count="3">
    <dimension name="Final Dashboard" uniqueName="[Final Dashboard]" caption="Final Dashboard"/>
    <dimension measure="1" name="Measures" uniqueName="[Measures]" caption="Measures"/>
    <dimension name="Table1" uniqueName="[Table1]" caption="Table1"/>
  </dimensions>
  <measureGroups count="2">
    <measureGroup name="Final Dashboard" caption="Final Dashboard"/>
    <measureGroup name="Table1" caption="Table1"/>
  </measureGroups>
  <maps count="2">
    <map measureGroup="0" dimension="0"/>
    <map measureGroup="1" dimension="2"/>
  </maps>
  <extLst>
    <ext xmlns:x14="http://schemas.microsoft.com/office/spreadsheetml/2009/9/main" uri="{725AE2AE-9491-48be-B2B4-4EB974FC3084}">
      <x14:pivotCacheDefinition slicerData="1" pivotCacheId="195690585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
  <r>
    <n v="1"/>
    <x v="0"/>
    <x v="0"/>
    <x v="0"/>
    <n v="1624"/>
    <n v="114"/>
    <d v="2023-01-01T00:00:00"/>
    <n v="185136"/>
    <n v="1"/>
    <s v="Sunday"/>
    <x v="0"/>
    <x v="0"/>
    <n v="1"/>
    <s v="Q1"/>
  </r>
  <r>
    <n v="2"/>
    <x v="1"/>
    <x v="1"/>
    <x v="1"/>
    <n v="6706"/>
    <n v="459"/>
    <d v="2023-01-02T00:00:00"/>
    <n v="3078054"/>
    <n v="2"/>
    <s v="Monday"/>
    <x v="0"/>
    <x v="0"/>
    <n v="1"/>
    <s v="Q1"/>
  </r>
  <r>
    <n v="3"/>
    <x v="2"/>
    <x v="1"/>
    <x v="2"/>
    <n v="959"/>
    <n v="147"/>
    <d v="2023-01-03T00:00:00"/>
    <n v="140973"/>
    <n v="3"/>
    <s v="Tuesday"/>
    <x v="0"/>
    <x v="0"/>
    <n v="1"/>
    <s v="Q1"/>
  </r>
  <r>
    <n v="4"/>
    <x v="3"/>
    <x v="2"/>
    <x v="3"/>
    <n v="9632"/>
    <n v="288"/>
    <d v="2023-01-04T00:00:00"/>
    <n v="2774016"/>
    <n v="4"/>
    <s v="Wednesday"/>
    <x v="0"/>
    <x v="0"/>
    <n v="1"/>
    <s v="Q1"/>
  </r>
  <r>
    <n v="5"/>
    <x v="4"/>
    <x v="3"/>
    <x v="4"/>
    <n v="2100"/>
    <n v="414"/>
    <d v="2023-01-05T00:00:00"/>
    <n v="869400"/>
    <n v="5"/>
    <s v="Thursday"/>
    <x v="0"/>
    <x v="0"/>
    <n v="1"/>
    <s v="Q1"/>
  </r>
  <r>
    <n v="6"/>
    <x v="0"/>
    <x v="1"/>
    <x v="5"/>
    <n v="8869"/>
    <n v="432"/>
    <d v="2023-01-06T00:00:00"/>
    <n v="3831408"/>
    <n v="6"/>
    <s v="Friday"/>
    <x v="0"/>
    <x v="0"/>
    <n v="1"/>
    <s v="Q1"/>
  </r>
  <r>
    <n v="7"/>
    <x v="4"/>
    <x v="4"/>
    <x v="6"/>
    <n v="2681"/>
    <n v="54"/>
    <d v="2023-01-07T00:00:00"/>
    <n v="144774"/>
    <n v="7"/>
    <s v="Saturday"/>
    <x v="0"/>
    <x v="0"/>
    <n v="1"/>
    <s v="Q1"/>
  </r>
  <r>
    <n v="8"/>
    <x v="1"/>
    <x v="1"/>
    <x v="7"/>
    <n v="5012"/>
    <n v="210"/>
    <d v="2023-01-08T00:00:00"/>
    <n v="1052520"/>
    <n v="8"/>
    <s v="Sunday"/>
    <x v="0"/>
    <x v="0"/>
    <n v="1"/>
    <s v="Q1"/>
  </r>
  <r>
    <n v="9"/>
    <x v="5"/>
    <x v="4"/>
    <x v="8"/>
    <n v="1281"/>
    <n v="75"/>
    <d v="2023-01-09T00:00:00"/>
    <n v="96075"/>
    <n v="9"/>
    <s v="Monday"/>
    <x v="0"/>
    <x v="0"/>
    <n v="1"/>
    <s v="Q1"/>
  </r>
  <r>
    <n v="10"/>
    <x v="6"/>
    <x v="0"/>
    <x v="8"/>
    <n v="4991"/>
    <n v="12"/>
    <d v="2023-01-10T00:00:00"/>
    <n v="59892"/>
    <n v="10"/>
    <s v="Tuesday"/>
    <x v="0"/>
    <x v="0"/>
    <n v="1"/>
    <s v="Q1"/>
  </r>
  <r>
    <n v="11"/>
    <x v="7"/>
    <x v="3"/>
    <x v="4"/>
    <n v="1785"/>
    <n v="462"/>
    <d v="2023-01-11T00:00:00"/>
    <n v="824670"/>
    <n v="11"/>
    <s v="Wednesday"/>
    <x v="0"/>
    <x v="0"/>
    <n v="1"/>
    <s v="Q1"/>
  </r>
  <r>
    <n v="12"/>
    <x v="8"/>
    <x v="0"/>
    <x v="9"/>
    <n v="3983"/>
    <n v="144"/>
    <d v="2023-01-12T00:00:00"/>
    <n v="573552"/>
    <n v="12"/>
    <s v="Thursday"/>
    <x v="0"/>
    <x v="0"/>
    <n v="1"/>
    <s v="Q1"/>
  </r>
  <r>
    <n v="13"/>
    <x v="2"/>
    <x v="4"/>
    <x v="10"/>
    <n v="2646"/>
    <n v="120"/>
    <d v="2023-01-13T00:00:00"/>
    <n v="317520"/>
    <n v="13"/>
    <s v="Friday"/>
    <x v="0"/>
    <x v="0"/>
    <n v="1"/>
    <s v="Q1"/>
  </r>
  <r>
    <n v="14"/>
    <x v="7"/>
    <x v="5"/>
    <x v="11"/>
    <n v="252"/>
    <n v="54"/>
    <d v="2023-01-14T00:00:00"/>
    <n v="13608"/>
    <n v="14"/>
    <s v="Saturday"/>
    <x v="0"/>
    <x v="0"/>
    <n v="1"/>
    <s v="Q1"/>
  </r>
  <r>
    <n v="15"/>
    <x v="8"/>
    <x v="1"/>
    <x v="4"/>
    <n v="2464"/>
    <n v="234"/>
    <d v="2023-01-15T00:00:00"/>
    <n v="576576"/>
    <n v="15"/>
    <s v="Sunday"/>
    <x v="0"/>
    <x v="0"/>
    <n v="1"/>
    <s v="Q1"/>
  </r>
  <r>
    <n v="16"/>
    <x v="8"/>
    <x v="1"/>
    <x v="12"/>
    <n v="2114"/>
    <n v="66"/>
    <d v="2023-01-16T00:00:00"/>
    <n v="139524"/>
    <n v="16"/>
    <s v="Monday"/>
    <x v="0"/>
    <x v="0"/>
    <n v="1"/>
    <s v="Q1"/>
  </r>
  <r>
    <n v="17"/>
    <x v="4"/>
    <x v="0"/>
    <x v="6"/>
    <n v="7693"/>
    <n v="87"/>
    <d v="2023-01-17T00:00:00"/>
    <n v="669291"/>
    <n v="17"/>
    <s v="Tuesday"/>
    <x v="0"/>
    <x v="0"/>
    <n v="1"/>
    <s v="Q1"/>
  </r>
  <r>
    <n v="18"/>
    <x v="6"/>
    <x v="5"/>
    <x v="13"/>
    <n v="15610"/>
    <n v="339"/>
    <d v="2023-01-18T00:00:00"/>
    <n v="5291790"/>
    <n v="18"/>
    <s v="Wednesday"/>
    <x v="0"/>
    <x v="0"/>
    <n v="1"/>
    <s v="Q1"/>
  </r>
  <r>
    <n v="19"/>
    <x v="3"/>
    <x v="5"/>
    <x v="7"/>
    <n v="336"/>
    <n v="144"/>
    <d v="2023-01-19T00:00:00"/>
    <n v="48384"/>
    <n v="19"/>
    <s v="Thursday"/>
    <x v="0"/>
    <x v="0"/>
    <n v="1"/>
    <s v="Q1"/>
  </r>
  <r>
    <n v="20"/>
    <x v="7"/>
    <x v="3"/>
    <x v="13"/>
    <n v="9443"/>
    <n v="162"/>
    <d v="2023-01-20T00:00:00"/>
    <n v="1529766"/>
    <n v="20"/>
    <s v="Friday"/>
    <x v="0"/>
    <x v="0"/>
    <n v="1"/>
    <s v="Q1"/>
  </r>
  <r>
    <n v="21"/>
    <x v="2"/>
    <x v="5"/>
    <x v="14"/>
    <n v="8155"/>
    <n v="90"/>
    <d v="2023-01-21T00:00:00"/>
    <n v="733950"/>
    <n v="21"/>
    <s v="Saturday"/>
    <x v="0"/>
    <x v="0"/>
    <n v="1"/>
    <s v="Q1"/>
  </r>
  <r>
    <n v="22"/>
    <x v="1"/>
    <x v="4"/>
    <x v="14"/>
    <n v="1701"/>
    <n v="234"/>
    <d v="2023-01-22T00:00:00"/>
    <n v="398034"/>
    <n v="22"/>
    <s v="Sunday"/>
    <x v="0"/>
    <x v="0"/>
    <n v="1"/>
    <s v="Q1"/>
  </r>
  <r>
    <n v="23"/>
    <x v="9"/>
    <x v="4"/>
    <x v="7"/>
    <n v="2205"/>
    <n v="141"/>
    <d v="2023-01-23T00:00:00"/>
    <n v="310905"/>
    <n v="23"/>
    <s v="Monday"/>
    <x v="0"/>
    <x v="0"/>
    <n v="1"/>
    <s v="Q1"/>
  </r>
  <r>
    <n v="24"/>
    <x v="1"/>
    <x v="0"/>
    <x v="15"/>
    <n v="1771"/>
    <n v="204"/>
    <d v="2023-01-24T00:00:00"/>
    <n v="361284"/>
    <n v="24"/>
    <s v="Tuesday"/>
    <x v="0"/>
    <x v="0"/>
    <n v="1"/>
    <s v="Q1"/>
  </r>
  <r>
    <n v="25"/>
    <x v="3"/>
    <x v="1"/>
    <x v="16"/>
    <n v="2114"/>
    <n v="186"/>
    <d v="2023-01-25T00:00:00"/>
    <n v="393204"/>
    <n v="25"/>
    <s v="Wednesday"/>
    <x v="0"/>
    <x v="0"/>
    <n v="1"/>
    <s v="Q1"/>
  </r>
  <r>
    <n v="26"/>
    <x v="3"/>
    <x v="2"/>
    <x v="11"/>
    <n v="10311"/>
    <n v="231"/>
    <d v="2023-01-26T00:00:00"/>
    <n v="2381841"/>
    <n v="26"/>
    <s v="Thursday"/>
    <x v="0"/>
    <x v="0"/>
    <n v="1"/>
    <s v="Q1"/>
  </r>
  <r>
    <n v="27"/>
    <x v="8"/>
    <x v="3"/>
    <x v="10"/>
    <n v="21"/>
    <n v="168"/>
    <d v="2023-01-27T00:00:00"/>
    <n v="3528"/>
    <n v="27"/>
    <s v="Friday"/>
    <x v="0"/>
    <x v="0"/>
    <n v="1"/>
    <s v="Q1"/>
  </r>
  <r>
    <n v="28"/>
    <x v="9"/>
    <x v="1"/>
    <x v="13"/>
    <n v="1974"/>
    <n v="195"/>
    <d v="2023-01-28T00:00:00"/>
    <n v="384930"/>
    <n v="28"/>
    <s v="Saturday"/>
    <x v="0"/>
    <x v="0"/>
    <n v="1"/>
    <s v="Q1"/>
  </r>
  <r>
    <n v="29"/>
    <x v="6"/>
    <x v="2"/>
    <x v="14"/>
    <n v="6314"/>
    <n v="15"/>
    <d v="2023-01-29T00:00:00"/>
    <n v="94710"/>
    <n v="29"/>
    <s v="Sunday"/>
    <x v="0"/>
    <x v="0"/>
    <n v="1"/>
    <s v="Q1"/>
  </r>
  <r>
    <n v="30"/>
    <x v="9"/>
    <x v="0"/>
    <x v="14"/>
    <n v="4683"/>
    <n v="30"/>
    <d v="2023-01-30T00:00:00"/>
    <n v="140490"/>
    <n v="30"/>
    <s v="Monday"/>
    <x v="0"/>
    <x v="0"/>
    <n v="1"/>
    <s v="Q1"/>
  </r>
  <r>
    <n v="31"/>
    <x v="3"/>
    <x v="0"/>
    <x v="17"/>
    <n v="6398"/>
    <n v="102"/>
    <d v="2023-01-31T00:00:00"/>
    <n v="652596"/>
    <n v="31"/>
    <s v="Tuesday"/>
    <x v="0"/>
    <x v="0"/>
    <n v="1"/>
    <s v="Q1"/>
  </r>
  <r>
    <n v="32"/>
    <x v="7"/>
    <x v="1"/>
    <x v="15"/>
    <n v="553"/>
    <n v="15"/>
    <d v="2023-02-01T00:00:00"/>
    <n v="8295"/>
    <n v="1"/>
    <s v="Wednesday"/>
    <x v="1"/>
    <x v="1"/>
    <n v="1"/>
    <s v="Q1"/>
  </r>
  <r>
    <n v="33"/>
    <x v="1"/>
    <x v="3"/>
    <x v="0"/>
    <n v="7021"/>
    <n v="183"/>
    <d v="2023-02-02T00:00:00"/>
    <n v="1284843"/>
    <n v="2"/>
    <s v="Thursday"/>
    <x v="1"/>
    <x v="1"/>
    <n v="1"/>
    <s v="Q1"/>
  </r>
  <r>
    <n v="34"/>
    <x v="0"/>
    <x v="3"/>
    <x v="7"/>
    <n v="5817"/>
    <n v="12"/>
    <d v="2023-02-03T00:00:00"/>
    <n v="69804"/>
    <n v="3"/>
    <s v="Friday"/>
    <x v="1"/>
    <x v="1"/>
    <n v="1"/>
    <s v="Q1"/>
  </r>
  <r>
    <n v="35"/>
    <x v="3"/>
    <x v="3"/>
    <x v="8"/>
    <n v="3976"/>
    <n v="72"/>
    <d v="2023-02-04T00:00:00"/>
    <n v="286272"/>
    <n v="4"/>
    <s v="Saturday"/>
    <x v="1"/>
    <x v="1"/>
    <n v="1"/>
    <s v="Q1"/>
  </r>
  <r>
    <n v="36"/>
    <x v="4"/>
    <x v="4"/>
    <x v="18"/>
    <n v="1134"/>
    <n v="282"/>
    <d v="2023-02-05T00:00:00"/>
    <n v="319788"/>
    <n v="5"/>
    <s v="Sunday"/>
    <x v="1"/>
    <x v="1"/>
    <n v="1"/>
    <s v="Q1"/>
  </r>
  <r>
    <n v="37"/>
    <x v="7"/>
    <x v="3"/>
    <x v="19"/>
    <n v="6027"/>
    <n v="144"/>
    <d v="2023-02-06T00:00:00"/>
    <n v="867888"/>
    <n v="6"/>
    <s v="Monday"/>
    <x v="1"/>
    <x v="1"/>
    <n v="1"/>
    <s v="Q1"/>
  </r>
  <r>
    <n v="38"/>
    <x v="4"/>
    <x v="0"/>
    <x v="10"/>
    <n v="1904"/>
    <n v="405"/>
    <d v="2023-02-07T00:00:00"/>
    <n v="771120"/>
    <n v="7"/>
    <s v="Tuesday"/>
    <x v="1"/>
    <x v="1"/>
    <n v="1"/>
    <s v="Q1"/>
  </r>
  <r>
    <n v="39"/>
    <x v="5"/>
    <x v="5"/>
    <x v="1"/>
    <n v="3262"/>
    <n v="75"/>
    <d v="2023-02-08T00:00:00"/>
    <n v="244650"/>
    <n v="8"/>
    <s v="Wednesday"/>
    <x v="1"/>
    <x v="1"/>
    <n v="1"/>
    <s v="Q1"/>
  </r>
  <r>
    <n v="40"/>
    <x v="0"/>
    <x v="5"/>
    <x v="18"/>
    <n v="2289"/>
    <n v="135"/>
    <d v="2023-02-09T00:00:00"/>
    <n v="309015"/>
    <n v="9"/>
    <s v="Thursday"/>
    <x v="1"/>
    <x v="1"/>
    <n v="1"/>
    <s v="Q1"/>
  </r>
  <r>
    <n v="41"/>
    <x v="6"/>
    <x v="5"/>
    <x v="18"/>
    <n v="6986"/>
    <n v="21"/>
    <d v="2023-02-10T00:00:00"/>
    <n v="146706"/>
    <n v="10"/>
    <s v="Friday"/>
    <x v="1"/>
    <x v="1"/>
    <n v="1"/>
    <s v="Q1"/>
  </r>
  <r>
    <n v="42"/>
    <x v="7"/>
    <x v="4"/>
    <x v="14"/>
    <n v="4417"/>
    <n v="153"/>
    <d v="2023-02-11T00:00:00"/>
    <n v="675801"/>
    <n v="11"/>
    <s v="Saturday"/>
    <x v="1"/>
    <x v="1"/>
    <n v="1"/>
    <s v="Q1"/>
  </r>
  <r>
    <n v="43"/>
    <x v="4"/>
    <x v="5"/>
    <x v="16"/>
    <n v="1442"/>
    <n v="15"/>
    <d v="2023-02-12T00:00:00"/>
    <n v="21630"/>
    <n v="12"/>
    <s v="Sunday"/>
    <x v="1"/>
    <x v="1"/>
    <n v="1"/>
    <s v="Q1"/>
  </r>
  <r>
    <n v="44"/>
    <x v="8"/>
    <x v="1"/>
    <x v="8"/>
    <n v="2415"/>
    <n v="255"/>
    <d v="2023-02-13T00:00:00"/>
    <n v="615825"/>
    <n v="13"/>
    <s v="Monday"/>
    <x v="1"/>
    <x v="1"/>
    <n v="1"/>
    <s v="Q1"/>
  </r>
  <r>
    <n v="45"/>
    <x v="7"/>
    <x v="0"/>
    <x v="15"/>
    <n v="238"/>
    <n v="18"/>
    <d v="2023-02-14T00:00:00"/>
    <n v="4284"/>
    <n v="14"/>
    <s v="Tuesday"/>
    <x v="1"/>
    <x v="1"/>
    <n v="1"/>
    <s v="Q1"/>
  </r>
  <r>
    <n v="46"/>
    <x v="4"/>
    <x v="0"/>
    <x v="14"/>
    <n v="4949"/>
    <n v="189"/>
    <d v="2023-02-15T00:00:00"/>
    <n v="935361"/>
    <n v="15"/>
    <s v="Wednesday"/>
    <x v="1"/>
    <x v="1"/>
    <n v="1"/>
    <s v="Q1"/>
  </r>
  <r>
    <n v="47"/>
    <x v="6"/>
    <x v="4"/>
    <x v="1"/>
    <n v="5075"/>
    <n v="21"/>
    <d v="2023-02-16T00:00:00"/>
    <n v="106575"/>
    <n v="16"/>
    <s v="Thursday"/>
    <x v="1"/>
    <x v="1"/>
    <n v="1"/>
    <s v="Q1"/>
  </r>
  <r>
    <n v="48"/>
    <x v="8"/>
    <x v="2"/>
    <x v="10"/>
    <n v="9198"/>
    <n v="36"/>
    <d v="2023-02-17T00:00:00"/>
    <n v="331128"/>
    <n v="17"/>
    <s v="Friday"/>
    <x v="1"/>
    <x v="1"/>
    <n v="1"/>
    <s v="Q1"/>
  </r>
  <r>
    <n v="49"/>
    <x v="4"/>
    <x v="5"/>
    <x v="12"/>
    <n v="3339"/>
    <n v="75"/>
    <d v="2023-02-18T00:00:00"/>
    <n v="250425"/>
    <n v="18"/>
    <s v="Saturday"/>
    <x v="1"/>
    <x v="1"/>
    <n v="1"/>
    <s v="Q1"/>
  </r>
  <r>
    <n v="50"/>
    <x v="0"/>
    <x v="5"/>
    <x v="9"/>
    <n v="5019"/>
    <n v="156"/>
    <d v="2023-02-19T00:00:00"/>
    <n v="782964"/>
    <n v="19"/>
    <s v="Sunday"/>
    <x v="1"/>
    <x v="1"/>
    <n v="1"/>
    <s v="Q1"/>
  </r>
  <r>
    <n v="51"/>
    <x v="6"/>
    <x v="2"/>
    <x v="10"/>
    <n v="16184"/>
    <n v="39"/>
    <d v="2023-02-20T00:00:00"/>
    <n v="631176"/>
    <n v="20"/>
    <s v="Monday"/>
    <x v="1"/>
    <x v="1"/>
    <n v="1"/>
    <s v="Q1"/>
  </r>
  <r>
    <n v="52"/>
    <x v="4"/>
    <x v="2"/>
    <x v="20"/>
    <n v="497"/>
    <n v="63"/>
    <d v="2023-02-21T00:00:00"/>
    <n v="31311"/>
    <n v="21"/>
    <s v="Tuesday"/>
    <x v="1"/>
    <x v="1"/>
    <n v="1"/>
    <s v="Q1"/>
  </r>
  <r>
    <n v="53"/>
    <x v="7"/>
    <x v="2"/>
    <x v="12"/>
    <n v="8211"/>
    <n v="75"/>
    <d v="2023-02-22T00:00:00"/>
    <n v="615825"/>
    <n v="22"/>
    <s v="Wednesday"/>
    <x v="1"/>
    <x v="1"/>
    <n v="1"/>
    <s v="Q1"/>
  </r>
  <r>
    <n v="54"/>
    <x v="7"/>
    <x v="4"/>
    <x v="19"/>
    <n v="6580"/>
    <n v="183"/>
    <d v="2023-02-23T00:00:00"/>
    <n v="1204140"/>
    <n v="23"/>
    <s v="Thursday"/>
    <x v="1"/>
    <x v="1"/>
    <n v="1"/>
    <s v="Q1"/>
  </r>
  <r>
    <n v="55"/>
    <x v="3"/>
    <x v="1"/>
    <x v="11"/>
    <n v="4760"/>
    <n v="69"/>
    <d v="2023-02-24T00:00:00"/>
    <n v="328440"/>
    <n v="24"/>
    <s v="Friday"/>
    <x v="1"/>
    <x v="1"/>
    <n v="1"/>
    <s v="Q1"/>
  </r>
  <r>
    <n v="56"/>
    <x v="0"/>
    <x v="2"/>
    <x v="4"/>
    <n v="5439"/>
    <n v="30"/>
    <d v="2023-02-25T00:00:00"/>
    <n v="163170"/>
    <n v="25"/>
    <s v="Saturday"/>
    <x v="1"/>
    <x v="1"/>
    <n v="1"/>
    <s v="Q1"/>
  </r>
  <r>
    <n v="57"/>
    <x v="3"/>
    <x v="5"/>
    <x v="9"/>
    <n v="1463"/>
    <n v="39"/>
    <d v="2023-02-26T00:00:00"/>
    <n v="57057"/>
    <n v="26"/>
    <s v="Sunday"/>
    <x v="1"/>
    <x v="1"/>
    <n v="1"/>
    <s v="Q1"/>
  </r>
  <r>
    <n v="58"/>
    <x v="8"/>
    <x v="5"/>
    <x v="1"/>
    <n v="7777"/>
    <n v="504"/>
    <d v="2023-02-27T00:00:00"/>
    <n v="3919608"/>
    <n v="27"/>
    <s v="Monday"/>
    <x v="1"/>
    <x v="1"/>
    <n v="1"/>
    <s v="Q1"/>
  </r>
  <r>
    <n v="59"/>
    <x v="2"/>
    <x v="0"/>
    <x v="12"/>
    <n v="1085"/>
    <n v="273"/>
    <d v="2023-02-28T00:00:00"/>
    <n v="296205"/>
    <n v="28"/>
    <s v="Tuesday"/>
    <x v="1"/>
    <x v="1"/>
    <n v="1"/>
    <s v="Q1"/>
  </r>
  <r>
    <n v="60"/>
    <x v="6"/>
    <x v="0"/>
    <x v="6"/>
    <n v="182"/>
    <n v="48"/>
    <d v="2023-03-01T00:00:00"/>
    <n v="8736"/>
    <n v="1"/>
    <s v="Wednesday"/>
    <x v="2"/>
    <x v="2"/>
    <n v="1"/>
    <s v="Q1"/>
  </r>
  <r>
    <n v="61"/>
    <x v="4"/>
    <x v="5"/>
    <x v="18"/>
    <n v="4242"/>
    <n v="207"/>
    <d v="2023-03-02T00:00:00"/>
    <n v="878094"/>
    <n v="2"/>
    <s v="Thursday"/>
    <x v="2"/>
    <x v="2"/>
    <n v="1"/>
    <s v="Q1"/>
  </r>
  <r>
    <n v="62"/>
    <x v="4"/>
    <x v="2"/>
    <x v="1"/>
    <n v="6118"/>
    <n v="9"/>
    <d v="2023-03-03T00:00:00"/>
    <n v="55062"/>
    <n v="3"/>
    <s v="Friday"/>
    <x v="2"/>
    <x v="2"/>
    <n v="1"/>
    <s v="Q1"/>
  </r>
  <r>
    <n v="63"/>
    <x v="9"/>
    <x v="2"/>
    <x v="14"/>
    <n v="2317"/>
    <n v="261"/>
    <d v="2023-03-04T00:00:00"/>
    <n v="604737"/>
    <n v="4"/>
    <s v="Saturday"/>
    <x v="2"/>
    <x v="2"/>
    <n v="1"/>
    <s v="Q1"/>
  </r>
  <r>
    <n v="64"/>
    <x v="4"/>
    <x v="4"/>
    <x v="10"/>
    <n v="938"/>
    <n v="6"/>
    <d v="2023-03-05T00:00:00"/>
    <n v="5628"/>
    <n v="5"/>
    <s v="Sunday"/>
    <x v="2"/>
    <x v="2"/>
    <n v="1"/>
    <s v="Q1"/>
  </r>
  <r>
    <n v="65"/>
    <x v="1"/>
    <x v="0"/>
    <x v="16"/>
    <n v="9709"/>
    <n v="30"/>
    <d v="2023-03-06T00:00:00"/>
    <n v="291270"/>
    <n v="6"/>
    <s v="Monday"/>
    <x v="2"/>
    <x v="2"/>
    <n v="1"/>
    <s v="Q1"/>
  </r>
  <r>
    <n v="66"/>
    <x v="5"/>
    <x v="5"/>
    <x v="13"/>
    <n v="2205"/>
    <n v="138"/>
    <d v="2023-03-07T00:00:00"/>
    <n v="304290"/>
    <n v="7"/>
    <s v="Tuesday"/>
    <x v="2"/>
    <x v="2"/>
    <n v="1"/>
    <s v="Q1"/>
  </r>
  <r>
    <n v="67"/>
    <x v="5"/>
    <x v="0"/>
    <x v="9"/>
    <n v="4487"/>
    <n v="111"/>
    <d v="2023-03-08T00:00:00"/>
    <n v="498057"/>
    <n v="8"/>
    <s v="Wednesday"/>
    <x v="2"/>
    <x v="2"/>
    <n v="1"/>
    <s v="Q1"/>
  </r>
  <r>
    <n v="68"/>
    <x v="6"/>
    <x v="1"/>
    <x v="3"/>
    <n v="2415"/>
    <n v="15"/>
    <d v="2023-03-09T00:00:00"/>
    <n v="36225"/>
    <n v="9"/>
    <s v="Thursday"/>
    <x v="2"/>
    <x v="2"/>
    <n v="1"/>
    <s v="Q1"/>
  </r>
  <r>
    <n v="69"/>
    <x v="0"/>
    <x v="5"/>
    <x v="15"/>
    <n v="4018"/>
    <n v="162"/>
    <d v="2023-03-10T00:00:00"/>
    <n v="650916"/>
    <n v="10"/>
    <s v="Friday"/>
    <x v="2"/>
    <x v="2"/>
    <n v="1"/>
    <s v="Q1"/>
  </r>
  <r>
    <n v="70"/>
    <x v="6"/>
    <x v="5"/>
    <x v="15"/>
    <n v="861"/>
    <n v="195"/>
    <d v="2023-03-11T00:00:00"/>
    <n v="167895"/>
    <n v="11"/>
    <s v="Saturday"/>
    <x v="2"/>
    <x v="2"/>
    <n v="1"/>
    <s v="Q1"/>
  </r>
  <r>
    <n v="71"/>
    <x v="9"/>
    <x v="4"/>
    <x v="8"/>
    <n v="5586"/>
    <n v="525"/>
    <d v="2023-03-12T00:00:00"/>
    <n v="2932650"/>
    <n v="12"/>
    <s v="Sunday"/>
    <x v="2"/>
    <x v="2"/>
    <n v="1"/>
    <s v="Q1"/>
  </r>
  <r>
    <n v="72"/>
    <x v="5"/>
    <x v="5"/>
    <x v="5"/>
    <n v="2226"/>
    <n v="48"/>
    <d v="2023-03-13T00:00:00"/>
    <n v="106848"/>
    <n v="13"/>
    <s v="Monday"/>
    <x v="2"/>
    <x v="2"/>
    <n v="1"/>
    <s v="Q1"/>
  </r>
  <r>
    <n v="73"/>
    <x v="2"/>
    <x v="5"/>
    <x v="19"/>
    <n v="14329"/>
    <n v="150"/>
    <d v="2023-03-14T00:00:00"/>
    <n v="2149350"/>
    <n v="14"/>
    <s v="Tuesday"/>
    <x v="2"/>
    <x v="2"/>
    <n v="1"/>
    <s v="Q1"/>
  </r>
  <r>
    <n v="74"/>
    <x v="2"/>
    <x v="5"/>
    <x v="13"/>
    <n v="8463"/>
    <n v="492"/>
    <d v="2023-03-15T00:00:00"/>
    <n v="4163796"/>
    <n v="15"/>
    <s v="Wednesday"/>
    <x v="2"/>
    <x v="2"/>
    <n v="1"/>
    <s v="Q1"/>
  </r>
  <r>
    <n v="75"/>
    <x v="6"/>
    <x v="5"/>
    <x v="12"/>
    <n v="2891"/>
    <n v="102"/>
    <d v="2023-03-16T00:00:00"/>
    <n v="294882"/>
    <n v="16"/>
    <s v="Thursday"/>
    <x v="2"/>
    <x v="2"/>
    <n v="1"/>
    <s v="Q1"/>
  </r>
  <r>
    <n v="76"/>
    <x v="8"/>
    <x v="2"/>
    <x v="14"/>
    <n v="3773"/>
    <n v="165"/>
    <d v="2023-03-17T00:00:00"/>
    <n v="622545"/>
    <n v="17"/>
    <s v="Friday"/>
    <x v="2"/>
    <x v="2"/>
    <n v="1"/>
    <s v="Q1"/>
  </r>
  <r>
    <n v="77"/>
    <x v="3"/>
    <x v="2"/>
    <x v="19"/>
    <n v="854"/>
    <n v="309"/>
    <d v="2023-03-18T00:00:00"/>
    <n v="263886"/>
    <n v="18"/>
    <s v="Saturday"/>
    <x v="2"/>
    <x v="2"/>
    <n v="1"/>
    <s v="Q1"/>
  </r>
  <r>
    <n v="78"/>
    <x v="4"/>
    <x v="2"/>
    <x v="9"/>
    <n v="4970"/>
    <n v="156"/>
    <d v="2023-03-19T00:00:00"/>
    <n v="775320"/>
    <n v="19"/>
    <s v="Sunday"/>
    <x v="2"/>
    <x v="2"/>
    <n v="1"/>
    <s v="Q1"/>
  </r>
  <r>
    <n v="79"/>
    <x v="2"/>
    <x v="1"/>
    <x v="21"/>
    <n v="98"/>
    <n v="159"/>
    <d v="2023-03-20T00:00:00"/>
    <n v="15582"/>
    <n v="20"/>
    <s v="Monday"/>
    <x v="2"/>
    <x v="2"/>
    <n v="1"/>
    <s v="Q1"/>
  </r>
  <r>
    <n v="80"/>
    <x v="6"/>
    <x v="1"/>
    <x v="16"/>
    <n v="13391"/>
    <n v="201"/>
    <d v="2023-03-21T00:00:00"/>
    <n v="2691591"/>
    <n v="21"/>
    <s v="Tuesday"/>
    <x v="2"/>
    <x v="2"/>
    <n v="1"/>
    <s v="Q1"/>
  </r>
  <r>
    <n v="81"/>
    <x v="1"/>
    <x v="3"/>
    <x v="6"/>
    <n v="8890"/>
    <n v="210"/>
    <d v="2023-03-22T00:00:00"/>
    <n v="1866900"/>
    <n v="22"/>
    <s v="Wednesday"/>
    <x v="2"/>
    <x v="2"/>
    <n v="1"/>
    <s v="Q1"/>
  </r>
  <r>
    <n v="82"/>
    <x v="7"/>
    <x v="4"/>
    <x v="11"/>
    <n v="56"/>
    <n v="51"/>
    <d v="2023-03-23T00:00:00"/>
    <n v="2856"/>
    <n v="23"/>
    <s v="Thursday"/>
    <x v="2"/>
    <x v="2"/>
    <n v="1"/>
    <s v="Q1"/>
  </r>
  <r>
    <n v="83"/>
    <x v="8"/>
    <x v="2"/>
    <x v="4"/>
    <n v="3339"/>
    <n v="39"/>
    <d v="2023-03-24T00:00:00"/>
    <n v="130221"/>
    <n v="24"/>
    <s v="Friday"/>
    <x v="2"/>
    <x v="2"/>
    <n v="1"/>
    <s v="Q1"/>
  </r>
  <r>
    <n v="84"/>
    <x v="9"/>
    <x v="1"/>
    <x v="3"/>
    <n v="3808"/>
    <n v="279"/>
    <d v="2023-03-25T00:00:00"/>
    <n v="1062432"/>
    <n v="25"/>
    <s v="Saturday"/>
    <x v="2"/>
    <x v="2"/>
    <n v="1"/>
    <s v="Q1"/>
  </r>
  <r>
    <n v="85"/>
    <x v="9"/>
    <x v="4"/>
    <x v="11"/>
    <n v="63"/>
    <n v="123"/>
    <d v="2023-03-26T00:00:00"/>
    <n v="7749"/>
    <n v="26"/>
    <s v="Sunday"/>
    <x v="2"/>
    <x v="2"/>
    <n v="1"/>
    <s v="Q1"/>
  </r>
  <r>
    <n v="86"/>
    <x v="7"/>
    <x v="3"/>
    <x v="18"/>
    <n v="7812"/>
    <n v="81"/>
    <d v="2023-03-27T00:00:00"/>
    <n v="632772"/>
    <n v="27"/>
    <s v="Monday"/>
    <x v="2"/>
    <x v="2"/>
    <n v="1"/>
    <s v="Q1"/>
  </r>
  <r>
    <n v="87"/>
    <x v="0"/>
    <x v="0"/>
    <x v="15"/>
    <n v="7693"/>
    <n v="21"/>
    <d v="2023-03-28T00:00:00"/>
    <n v="161553"/>
    <n v="28"/>
    <s v="Tuesday"/>
    <x v="2"/>
    <x v="2"/>
    <n v="1"/>
    <s v="Q1"/>
  </r>
  <r>
    <n v="88"/>
    <x v="8"/>
    <x v="2"/>
    <x v="19"/>
    <n v="973"/>
    <n v="162"/>
    <d v="2023-03-29T00:00:00"/>
    <n v="157626"/>
    <n v="29"/>
    <s v="Wednesday"/>
    <x v="2"/>
    <x v="2"/>
    <n v="1"/>
    <s v="Q1"/>
  </r>
  <r>
    <n v="89"/>
    <x v="9"/>
    <x v="1"/>
    <x v="20"/>
    <n v="567"/>
    <n v="228"/>
    <d v="2023-03-30T00:00:00"/>
    <n v="129276"/>
    <n v="30"/>
    <s v="Thursday"/>
    <x v="2"/>
    <x v="2"/>
    <n v="1"/>
    <s v="Q1"/>
  </r>
  <r>
    <n v="90"/>
    <x v="9"/>
    <x v="2"/>
    <x v="12"/>
    <n v="2471"/>
    <n v="342"/>
    <d v="2023-03-31T00:00:00"/>
    <n v="845082"/>
    <n v="31"/>
    <s v="Friday"/>
    <x v="2"/>
    <x v="2"/>
    <n v="1"/>
    <s v="Q1"/>
  </r>
  <r>
    <n v="91"/>
    <x v="6"/>
    <x v="4"/>
    <x v="11"/>
    <n v="7189"/>
    <n v="54"/>
    <d v="2023-04-01T00:00:00"/>
    <n v="388206"/>
    <n v="1"/>
    <s v="Saturday"/>
    <x v="3"/>
    <x v="3"/>
    <n v="2"/>
    <s v="Q2"/>
  </r>
  <r>
    <n v="92"/>
    <x v="3"/>
    <x v="1"/>
    <x v="19"/>
    <n v="7455"/>
    <n v="216"/>
    <d v="2023-04-02T00:00:00"/>
    <n v="1610280"/>
    <n v="2"/>
    <s v="Sunday"/>
    <x v="3"/>
    <x v="3"/>
    <n v="2"/>
    <s v="Q2"/>
  </r>
  <r>
    <n v="93"/>
    <x v="8"/>
    <x v="5"/>
    <x v="21"/>
    <n v="3108"/>
    <n v="54"/>
    <d v="2023-04-03T00:00:00"/>
    <n v="167832"/>
    <n v="3"/>
    <s v="Monday"/>
    <x v="3"/>
    <x v="3"/>
    <n v="2"/>
    <s v="Q2"/>
  </r>
  <r>
    <n v="94"/>
    <x v="4"/>
    <x v="4"/>
    <x v="4"/>
    <n v="469"/>
    <n v="75"/>
    <d v="2023-04-04T00:00:00"/>
    <n v="35175"/>
    <n v="4"/>
    <s v="Tuesday"/>
    <x v="3"/>
    <x v="3"/>
    <n v="2"/>
    <s v="Q2"/>
  </r>
  <r>
    <n v="95"/>
    <x v="2"/>
    <x v="0"/>
    <x v="14"/>
    <n v="2737"/>
    <n v="93"/>
    <d v="2023-04-05T00:00:00"/>
    <n v="254541"/>
    <n v="5"/>
    <s v="Wednesday"/>
    <x v="3"/>
    <x v="3"/>
    <n v="2"/>
    <s v="Q2"/>
  </r>
  <r>
    <n v="96"/>
    <x v="2"/>
    <x v="0"/>
    <x v="4"/>
    <n v="4305"/>
    <n v="156"/>
    <d v="2023-04-06T00:00:00"/>
    <n v="671580"/>
    <n v="6"/>
    <s v="Thursday"/>
    <x v="3"/>
    <x v="3"/>
    <n v="2"/>
    <s v="Q2"/>
  </r>
  <r>
    <n v="97"/>
    <x v="2"/>
    <x v="4"/>
    <x v="9"/>
    <n v="2408"/>
    <n v="9"/>
    <d v="2023-04-07T00:00:00"/>
    <n v="21672"/>
    <n v="7"/>
    <s v="Friday"/>
    <x v="3"/>
    <x v="3"/>
    <n v="2"/>
    <s v="Q2"/>
  </r>
  <r>
    <n v="98"/>
    <x v="8"/>
    <x v="2"/>
    <x v="15"/>
    <n v="1281"/>
    <n v="18"/>
    <d v="2023-04-08T00:00:00"/>
    <n v="23058"/>
    <n v="8"/>
    <s v="Saturday"/>
    <x v="3"/>
    <x v="3"/>
    <n v="2"/>
    <s v="Q2"/>
  </r>
  <r>
    <n v="99"/>
    <x v="0"/>
    <x v="1"/>
    <x v="1"/>
    <n v="12348"/>
    <n v="234"/>
    <d v="2023-04-09T00:00:00"/>
    <n v="2889432"/>
    <n v="9"/>
    <s v="Sunday"/>
    <x v="3"/>
    <x v="3"/>
    <n v="2"/>
    <s v="Q2"/>
  </r>
  <r>
    <n v="100"/>
    <x v="8"/>
    <x v="5"/>
    <x v="19"/>
    <n v="3689"/>
    <n v="312"/>
    <d v="2023-04-10T00:00:00"/>
    <n v="1150968"/>
    <n v="10"/>
    <s v="Monday"/>
    <x v="3"/>
    <x v="3"/>
    <n v="2"/>
    <s v="Q2"/>
  </r>
  <r>
    <n v="101"/>
    <x v="5"/>
    <x v="2"/>
    <x v="15"/>
    <n v="2870"/>
    <n v="300"/>
    <d v="2023-04-11T00:00:00"/>
    <n v="861000"/>
    <n v="11"/>
    <s v="Tuesday"/>
    <x v="3"/>
    <x v="3"/>
    <n v="2"/>
    <s v="Q2"/>
  </r>
  <r>
    <n v="102"/>
    <x v="7"/>
    <x v="2"/>
    <x v="18"/>
    <n v="798"/>
    <n v="519"/>
    <d v="2023-04-12T00:00:00"/>
    <n v="414162"/>
    <n v="12"/>
    <s v="Wednesday"/>
    <x v="3"/>
    <x v="3"/>
    <n v="2"/>
    <s v="Q2"/>
  </r>
  <r>
    <n v="103"/>
    <x v="3"/>
    <x v="0"/>
    <x v="20"/>
    <n v="2933"/>
    <n v="9"/>
    <d v="2023-04-13T00:00:00"/>
    <n v="26397"/>
    <n v="13"/>
    <s v="Thursday"/>
    <x v="3"/>
    <x v="3"/>
    <n v="2"/>
    <s v="Q2"/>
  </r>
  <r>
    <n v="104"/>
    <x v="6"/>
    <x v="1"/>
    <x v="2"/>
    <n v="2744"/>
    <n v="9"/>
    <d v="2023-04-14T00:00:00"/>
    <n v="24696"/>
    <n v="14"/>
    <s v="Friday"/>
    <x v="3"/>
    <x v="3"/>
    <n v="2"/>
    <s v="Q2"/>
  </r>
  <r>
    <n v="105"/>
    <x v="0"/>
    <x v="2"/>
    <x v="5"/>
    <n v="9772"/>
    <n v="90"/>
    <d v="2023-04-15T00:00:00"/>
    <n v="879480"/>
    <n v="15"/>
    <s v="Saturday"/>
    <x v="3"/>
    <x v="3"/>
    <n v="2"/>
    <s v="Q2"/>
  </r>
  <r>
    <n v="106"/>
    <x v="5"/>
    <x v="5"/>
    <x v="4"/>
    <n v="1568"/>
    <n v="96"/>
    <d v="2023-04-16T00:00:00"/>
    <n v="150528"/>
    <n v="16"/>
    <s v="Sunday"/>
    <x v="3"/>
    <x v="3"/>
    <n v="2"/>
    <s v="Q2"/>
  </r>
  <r>
    <n v="107"/>
    <x v="7"/>
    <x v="2"/>
    <x v="10"/>
    <n v="11417"/>
    <n v="21"/>
    <d v="2023-04-17T00:00:00"/>
    <n v="239757"/>
    <n v="17"/>
    <s v="Monday"/>
    <x v="3"/>
    <x v="3"/>
    <n v="2"/>
    <s v="Q2"/>
  </r>
  <r>
    <n v="108"/>
    <x v="0"/>
    <x v="5"/>
    <x v="21"/>
    <n v="6748"/>
    <n v="48"/>
    <d v="2023-04-18T00:00:00"/>
    <n v="323904"/>
    <n v="18"/>
    <s v="Tuesday"/>
    <x v="3"/>
    <x v="3"/>
    <n v="2"/>
    <s v="Q2"/>
  </r>
  <r>
    <n v="109"/>
    <x v="9"/>
    <x v="2"/>
    <x v="18"/>
    <n v="1407"/>
    <n v="72"/>
    <d v="2023-04-19T00:00:00"/>
    <n v="101304"/>
    <n v="19"/>
    <s v="Wednesday"/>
    <x v="3"/>
    <x v="3"/>
    <n v="2"/>
    <s v="Q2"/>
  </r>
  <r>
    <n v="110"/>
    <x v="1"/>
    <x v="1"/>
    <x v="12"/>
    <n v="2023"/>
    <n v="168"/>
    <d v="2023-04-20T00:00:00"/>
    <n v="339864"/>
    <n v="20"/>
    <s v="Thursday"/>
    <x v="3"/>
    <x v="3"/>
    <n v="2"/>
    <s v="Q2"/>
  </r>
  <r>
    <n v="111"/>
    <x v="6"/>
    <x v="3"/>
    <x v="21"/>
    <n v="5236"/>
    <n v="51"/>
    <d v="2023-04-21T00:00:00"/>
    <n v="267036"/>
    <n v="21"/>
    <s v="Friday"/>
    <x v="3"/>
    <x v="3"/>
    <n v="2"/>
    <s v="Q2"/>
  </r>
  <r>
    <n v="112"/>
    <x v="3"/>
    <x v="2"/>
    <x v="15"/>
    <n v="1925"/>
    <n v="192"/>
    <d v="2023-04-22T00:00:00"/>
    <n v="369600"/>
    <n v="22"/>
    <s v="Saturday"/>
    <x v="3"/>
    <x v="3"/>
    <n v="2"/>
    <s v="Q2"/>
  </r>
  <r>
    <n v="113"/>
    <x v="5"/>
    <x v="0"/>
    <x v="8"/>
    <n v="6608"/>
    <n v="225"/>
    <d v="2023-04-23T00:00:00"/>
    <n v="1486800"/>
    <n v="23"/>
    <s v="Sunday"/>
    <x v="3"/>
    <x v="3"/>
    <n v="2"/>
    <s v="Q2"/>
  </r>
  <r>
    <n v="114"/>
    <x v="4"/>
    <x v="5"/>
    <x v="21"/>
    <n v="8008"/>
    <n v="456"/>
    <d v="2023-04-24T00:00:00"/>
    <n v="3651648"/>
    <n v="24"/>
    <s v="Monday"/>
    <x v="3"/>
    <x v="3"/>
    <n v="2"/>
    <s v="Q2"/>
  </r>
  <r>
    <n v="115"/>
    <x v="9"/>
    <x v="5"/>
    <x v="4"/>
    <n v="1428"/>
    <n v="93"/>
    <d v="2023-04-25T00:00:00"/>
    <n v="132804"/>
    <n v="25"/>
    <s v="Tuesday"/>
    <x v="3"/>
    <x v="3"/>
    <n v="2"/>
    <s v="Q2"/>
  </r>
  <r>
    <n v="116"/>
    <x v="4"/>
    <x v="5"/>
    <x v="2"/>
    <n v="525"/>
    <n v="48"/>
    <d v="2023-04-26T00:00:00"/>
    <n v="25200"/>
    <n v="26"/>
    <s v="Wednesday"/>
    <x v="3"/>
    <x v="3"/>
    <n v="2"/>
    <s v="Q2"/>
  </r>
  <r>
    <n v="117"/>
    <x v="4"/>
    <x v="0"/>
    <x v="3"/>
    <n v="1505"/>
    <n v="102"/>
    <d v="2023-04-27T00:00:00"/>
    <n v="153510"/>
    <n v="27"/>
    <s v="Thursday"/>
    <x v="3"/>
    <x v="3"/>
    <n v="2"/>
    <s v="Q2"/>
  </r>
  <r>
    <n v="118"/>
    <x v="5"/>
    <x v="1"/>
    <x v="0"/>
    <n v="6755"/>
    <n v="252"/>
    <d v="2023-04-28T00:00:00"/>
    <n v="1702260"/>
    <n v="28"/>
    <s v="Friday"/>
    <x v="3"/>
    <x v="3"/>
    <n v="2"/>
    <s v="Q2"/>
  </r>
  <r>
    <n v="119"/>
    <x v="7"/>
    <x v="0"/>
    <x v="3"/>
    <n v="11571"/>
    <n v="138"/>
    <d v="2023-04-29T00:00:00"/>
    <n v="1596798"/>
    <n v="29"/>
    <s v="Saturday"/>
    <x v="3"/>
    <x v="3"/>
    <n v="2"/>
    <s v="Q2"/>
  </r>
  <r>
    <n v="120"/>
    <x v="0"/>
    <x v="4"/>
    <x v="4"/>
    <n v="2541"/>
    <n v="90"/>
    <d v="2023-04-30T00:00:00"/>
    <n v="228690"/>
    <n v="30"/>
    <s v="Sunday"/>
    <x v="3"/>
    <x v="3"/>
    <n v="2"/>
    <s v="Q2"/>
  </r>
  <r>
    <n v="121"/>
    <x v="3"/>
    <x v="0"/>
    <x v="0"/>
    <n v="1526"/>
    <n v="240"/>
    <d v="2023-05-01T00:00:00"/>
    <n v="366240"/>
    <n v="1"/>
    <s v="Monday"/>
    <x v="4"/>
    <x v="4"/>
    <n v="2"/>
    <s v="Q2"/>
  </r>
  <r>
    <n v="122"/>
    <x v="0"/>
    <x v="4"/>
    <x v="2"/>
    <n v="6125"/>
    <n v="102"/>
    <d v="2023-05-02T00:00:00"/>
    <n v="624750"/>
    <n v="2"/>
    <s v="Tuesday"/>
    <x v="4"/>
    <x v="4"/>
    <n v="2"/>
    <s v="Q2"/>
  </r>
  <r>
    <n v="123"/>
    <x v="3"/>
    <x v="1"/>
    <x v="18"/>
    <n v="847"/>
    <n v="129"/>
    <d v="2023-05-03T00:00:00"/>
    <n v="109263"/>
    <n v="3"/>
    <s v="Wednesday"/>
    <x v="4"/>
    <x v="4"/>
    <n v="2"/>
    <s v="Q2"/>
  </r>
  <r>
    <n v="124"/>
    <x v="1"/>
    <x v="1"/>
    <x v="18"/>
    <n v="4753"/>
    <n v="300"/>
    <d v="2023-05-04T00:00:00"/>
    <n v="1425900"/>
    <n v="4"/>
    <s v="Thursday"/>
    <x v="4"/>
    <x v="4"/>
    <n v="2"/>
    <s v="Q2"/>
  </r>
  <r>
    <n v="125"/>
    <x v="4"/>
    <x v="4"/>
    <x v="5"/>
    <n v="959"/>
    <n v="135"/>
    <d v="2023-05-05T00:00:00"/>
    <n v="129465"/>
    <n v="5"/>
    <s v="Friday"/>
    <x v="4"/>
    <x v="4"/>
    <n v="2"/>
    <s v="Q2"/>
  </r>
  <r>
    <n v="126"/>
    <x v="5"/>
    <x v="1"/>
    <x v="17"/>
    <n v="2793"/>
    <n v="114"/>
    <d v="2023-05-06T00:00:00"/>
    <n v="318402"/>
    <n v="6"/>
    <s v="Saturday"/>
    <x v="4"/>
    <x v="4"/>
    <n v="2"/>
    <s v="Q2"/>
  </r>
  <r>
    <n v="127"/>
    <x v="5"/>
    <x v="1"/>
    <x v="8"/>
    <n v="4606"/>
    <n v="63"/>
    <d v="2023-05-07T00:00:00"/>
    <n v="290178"/>
    <n v="7"/>
    <s v="Sunday"/>
    <x v="4"/>
    <x v="4"/>
    <n v="2"/>
    <s v="Q2"/>
  </r>
  <r>
    <n v="128"/>
    <x v="5"/>
    <x v="2"/>
    <x v="12"/>
    <n v="5551"/>
    <n v="252"/>
    <d v="2023-05-08T00:00:00"/>
    <n v="1398852"/>
    <n v="8"/>
    <s v="Monday"/>
    <x v="4"/>
    <x v="4"/>
    <n v="2"/>
    <s v="Q2"/>
  </r>
  <r>
    <n v="129"/>
    <x v="9"/>
    <x v="2"/>
    <x v="1"/>
    <n v="6657"/>
    <n v="303"/>
    <d v="2023-05-09T00:00:00"/>
    <n v="2017071"/>
    <n v="9"/>
    <s v="Tuesday"/>
    <x v="4"/>
    <x v="4"/>
    <n v="2"/>
    <s v="Q2"/>
  </r>
  <r>
    <n v="130"/>
    <x v="5"/>
    <x v="3"/>
    <x v="9"/>
    <n v="4438"/>
    <n v="246"/>
    <d v="2023-05-10T00:00:00"/>
    <n v="1091748"/>
    <n v="10"/>
    <s v="Wednesday"/>
    <x v="4"/>
    <x v="4"/>
    <n v="2"/>
    <s v="Q2"/>
  </r>
  <r>
    <n v="131"/>
    <x v="1"/>
    <x v="4"/>
    <x v="7"/>
    <n v="168"/>
    <n v="84"/>
    <d v="2023-05-11T00:00:00"/>
    <n v="14112"/>
    <n v="11"/>
    <s v="Thursday"/>
    <x v="4"/>
    <x v="4"/>
    <n v="2"/>
    <s v="Q2"/>
  </r>
  <r>
    <n v="132"/>
    <x v="5"/>
    <x v="5"/>
    <x v="9"/>
    <n v="7777"/>
    <n v="39"/>
    <d v="2023-05-12T00:00:00"/>
    <n v="303303"/>
    <n v="12"/>
    <s v="Friday"/>
    <x v="4"/>
    <x v="4"/>
    <n v="2"/>
    <s v="Q2"/>
  </r>
  <r>
    <n v="133"/>
    <x v="6"/>
    <x v="2"/>
    <x v="9"/>
    <n v="3339"/>
    <n v="348"/>
    <d v="2023-05-13T00:00:00"/>
    <n v="1161972"/>
    <n v="13"/>
    <s v="Saturday"/>
    <x v="4"/>
    <x v="4"/>
    <n v="2"/>
    <s v="Q2"/>
  </r>
  <r>
    <n v="134"/>
    <x v="5"/>
    <x v="0"/>
    <x v="5"/>
    <n v="6391"/>
    <n v="48"/>
    <d v="2023-05-14T00:00:00"/>
    <n v="306768"/>
    <n v="14"/>
    <s v="Sunday"/>
    <x v="4"/>
    <x v="4"/>
    <n v="2"/>
    <s v="Q2"/>
  </r>
  <r>
    <n v="135"/>
    <x v="6"/>
    <x v="0"/>
    <x v="7"/>
    <n v="518"/>
    <n v="75"/>
    <d v="2023-05-15T00:00:00"/>
    <n v="38850"/>
    <n v="15"/>
    <s v="Monday"/>
    <x v="4"/>
    <x v="4"/>
    <n v="2"/>
    <s v="Q2"/>
  </r>
  <r>
    <n v="136"/>
    <x v="5"/>
    <x v="4"/>
    <x v="19"/>
    <n v="5677"/>
    <n v="258"/>
    <d v="2023-05-16T00:00:00"/>
    <n v="1464666"/>
    <n v="16"/>
    <s v="Tuesday"/>
    <x v="4"/>
    <x v="4"/>
    <n v="2"/>
    <s v="Q2"/>
  </r>
  <r>
    <n v="137"/>
    <x v="4"/>
    <x v="3"/>
    <x v="9"/>
    <n v="6048"/>
    <n v="27"/>
    <d v="2023-05-17T00:00:00"/>
    <n v="163296"/>
    <n v="17"/>
    <s v="Wednesday"/>
    <x v="4"/>
    <x v="4"/>
    <n v="2"/>
    <s v="Q2"/>
  </r>
  <r>
    <n v="138"/>
    <x v="1"/>
    <x v="4"/>
    <x v="1"/>
    <n v="3752"/>
    <n v="213"/>
    <d v="2023-05-18T00:00:00"/>
    <n v="799176"/>
    <n v="18"/>
    <s v="Thursday"/>
    <x v="4"/>
    <x v="4"/>
    <n v="2"/>
    <s v="Q2"/>
  </r>
  <r>
    <n v="139"/>
    <x v="6"/>
    <x v="1"/>
    <x v="12"/>
    <n v="4480"/>
    <n v="357"/>
    <d v="2023-05-19T00:00:00"/>
    <n v="1599360"/>
    <n v="19"/>
    <s v="Friday"/>
    <x v="4"/>
    <x v="4"/>
    <n v="2"/>
    <s v="Q2"/>
  </r>
  <r>
    <n v="140"/>
    <x v="2"/>
    <x v="0"/>
    <x v="2"/>
    <n v="259"/>
    <n v="207"/>
    <d v="2023-05-20T00:00:00"/>
    <n v="53613"/>
    <n v="20"/>
    <s v="Saturday"/>
    <x v="4"/>
    <x v="4"/>
    <n v="2"/>
    <s v="Q2"/>
  </r>
  <r>
    <n v="141"/>
    <x v="1"/>
    <x v="0"/>
    <x v="0"/>
    <n v="42"/>
    <n v="150"/>
    <d v="2023-05-21T00:00:00"/>
    <n v="6300"/>
    <n v="21"/>
    <s v="Sunday"/>
    <x v="4"/>
    <x v="4"/>
    <n v="2"/>
    <s v="Q2"/>
  </r>
  <r>
    <n v="142"/>
    <x v="3"/>
    <x v="2"/>
    <x v="21"/>
    <n v="98"/>
    <n v="204"/>
    <d v="2023-05-22T00:00:00"/>
    <n v="19992"/>
    <n v="22"/>
    <s v="Monday"/>
    <x v="4"/>
    <x v="4"/>
    <n v="2"/>
    <s v="Q2"/>
  </r>
  <r>
    <n v="143"/>
    <x v="5"/>
    <x v="1"/>
    <x v="18"/>
    <n v="2478"/>
    <n v="21"/>
    <d v="2023-05-23T00:00:00"/>
    <n v="52038"/>
    <n v="23"/>
    <s v="Tuesday"/>
    <x v="4"/>
    <x v="4"/>
    <n v="2"/>
    <s v="Q2"/>
  </r>
  <r>
    <n v="144"/>
    <x v="3"/>
    <x v="5"/>
    <x v="5"/>
    <n v="7847"/>
    <n v="174"/>
    <d v="2023-05-24T00:00:00"/>
    <n v="1365378"/>
    <n v="24"/>
    <s v="Wednesday"/>
    <x v="4"/>
    <x v="4"/>
    <n v="2"/>
    <s v="Q2"/>
  </r>
  <r>
    <n v="145"/>
    <x v="7"/>
    <x v="0"/>
    <x v="9"/>
    <n v="9926"/>
    <n v="201"/>
    <d v="2023-05-25T00:00:00"/>
    <n v="1995126"/>
    <n v="25"/>
    <s v="Thursday"/>
    <x v="4"/>
    <x v="4"/>
    <n v="2"/>
    <s v="Q2"/>
  </r>
  <r>
    <n v="146"/>
    <x v="1"/>
    <x v="4"/>
    <x v="11"/>
    <n v="819"/>
    <n v="510"/>
    <d v="2023-05-26T00:00:00"/>
    <n v="417690"/>
    <n v="26"/>
    <s v="Friday"/>
    <x v="4"/>
    <x v="4"/>
    <n v="2"/>
    <s v="Q2"/>
  </r>
  <r>
    <n v="147"/>
    <x v="4"/>
    <x v="3"/>
    <x v="12"/>
    <n v="3052"/>
    <n v="378"/>
    <d v="2023-05-27T00:00:00"/>
    <n v="1153656"/>
    <n v="27"/>
    <s v="Saturday"/>
    <x v="4"/>
    <x v="4"/>
    <n v="2"/>
    <s v="Q2"/>
  </r>
  <r>
    <n v="148"/>
    <x v="2"/>
    <x v="5"/>
    <x v="20"/>
    <n v="6832"/>
    <n v="27"/>
    <d v="2023-05-28T00:00:00"/>
    <n v="184464"/>
    <n v="28"/>
    <s v="Sunday"/>
    <x v="4"/>
    <x v="4"/>
    <n v="2"/>
    <s v="Q2"/>
  </r>
  <r>
    <n v="149"/>
    <x v="7"/>
    <x v="3"/>
    <x v="10"/>
    <n v="2016"/>
    <n v="117"/>
    <d v="2023-05-29T00:00:00"/>
    <n v="235872"/>
    <n v="29"/>
    <s v="Monday"/>
    <x v="4"/>
    <x v="4"/>
    <n v="2"/>
    <s v="Q2"/>
  </r>
  <r>
    <n v="150"/>
    <x v="4"/>
    <x v="4"/>
    <x v="20"/>
    <n v="7322"/>
    <n v="36"/>
    <d v="2023-05-30T00:00:00"/>
    <n v="263592"/>
    <n v="30"/>
    <s v="Tuesday"/>
    <x v="4"/>
    <x v="4"/>
    <n v="2"/>
    <s v="Q2"/>
  </r>
  <r>
    <n v="151"/>
    <x v="1"/>
    <x v="1"/>
    <x v="5"/>
    <n v="357"/>
    <n v="126"/>
    <d v="2023-05-31T00:00:00"/>
    <n v="44982"/>
    <n v="31"/>
    <s v="Wednesday"/>
    <x v="4"/>
    <x v="4"/>
    <n v="2"/>
    <s v="Q2"/>
  </r>
  <r>
    <n v="152"/>
    <x v="2"/>
    <x v="3"/>
    <x v="4"/>
    <n v="3192"/>
    <n v="72"/>
    <d v="2023-06-01T00:00:00"/>
    <n v="229824"/>
    <n v="1"/>
    <s v="Thursday"/>
    <x v="5"/>
    <x v="5"/>
    <n v="2"/>
    <s v="Q2"/>
  </r>
  <r>
    <n v="153"/>
    <x v="5"/>
    <x v="2"/>
    <x v="7"/>
    <n v="8435"/>
    <n v="42"/>
    <d v="2023-06-02T00:00:00"/>
    <n v="354270"/>
    <n v="2"/>
    <s v="Friday"/>
    <x v="5"/>
    <x v="5"/>
    <n v="2"/>
    <s v="Q2"/>
  </r>
  <r>
    <n v="154"/>
    <x v="0"/>
    <x v="3"/>
    <x v="12"/>
    <n v="0"/>
    <n v="135"/>
    <d v="2023-06-03T00:00:00"/>
    <n v="0"/>
    <n v="3"/>
    <s v="Saturday"/>
    <x v="5"/>
    <x v="5"/>
    <n v="2"/>
    <s v="Q2"/>
  </r>
  <r>
    <n v="155"/>
    <x v="5"/>
    <x v="5"/>
    <x v="17"/>
    <n v="8862"/>
    <n v="189"/>
    <d v="2023-06-04T00:00:00"/>
    <n v="1674918"/>
    <n v="4"/>
    <s v="Sunday"/>
    <x v="5"/>
    <x v="5"/>
    <n v="2"/>
    <s v="Q2"/>
  </r>
  <r>
    <n v="156"/>
    <x v="4"/>
    <x v="0"/>
    <x v="19"/>
    <n v="3556"/>
    <n v="459"/>
    <d v="2023-06-05T00:00:00"/>
    <n v="1632204"/>
    <n v="5"/>
    <s v="Monday"/>
    <x v="5"/>
    <x v="5"/>
    <n v="2"/>
    <s v="Q2"/>
  </r>
  <r>
    <n v="157"/>
    <x v="6"/>
    <x v="5"/>
    <x v="16"/>
    <n v="7280"/>
    <n v="201"/>
    <d v="2023-06-06T00:00:00"/>
    <n v="1463280"/>
    <n v="6"/>
    <s v="Tuesday"/>
    <x v="5"/>
    <x v="5"/>
    <n v="2"/>
    <s v="Q2"/>
  </r>
  <r>
    <n v="158"/>
    <x v="4"/>
    <x v="5"/>
    <x v="0"/>
    <n v="3402"/>
    <n v="366"/>
    <d v="2023-06-07T00:00:00"/>
    <n v="1245132"/>
    <n v="7"/>
    <s v="Wednesday"/>
    <x v="5"/>
    <x v="5"/>
    <n v="2"/>
    <s v="Q2"/>
  </r>
  <r>
    <n v="159"/>
    <x v="8"/>
    <x v="0"/>
    <x v="12"/>
    <n v="4592"/>
    <n v="324"/>
    <d v="2023-06-08T00:00:00"/>
    <n v="1487808"/>
    <n v="8"/>
    <s v="Thursday"/>
    <x v="5"/>
    <x v="5"/>
    <n v="2"/>
    <s v="Q2"/>
  </r>
  <r>
    <n v="160"/>
    <x v="2"/>
    <x v="1"/>
    <x v="16"/>
    <n v="7833"/>
    <n v="243"/>
    <d v="2023-06-09T00:00:00"/>
    <n v="1903419"/>
    <n v="9"/>
    <s v="Friday"/>
    <x v="5"/>
    <x v="5"/>
    <n v="2"/>
    <s v="Q2"/>
  </r>
  <r>
    <n v="161"/>
    <x v="7"/>
    <x v="3"/>
    <x v="20"/>
    <n v="7651"/>
    <n v="213"/>
    <d v="2023-06-10T00:00:00"/>
    <n v="1629663"/>
    <n v="10"/>
    <s v="Saturday"/>
    <x v="5"/>
    <x v="5"/>
    <n v="2"/>
    <s v="Q2"/>
  </r>
  <r>
    <n v="162"/>
    <x v="0"/>
    <x v="1"/>
    <x v="0"/>
    <n v="2275"/>
    <n v="447"/>
    <d v="2023-06-11T00:00:00"/>
    <n v="1016925"/>
    <n v="11"/>
    <s v="Sunday"/>
    <x v="5"/>
    <x v="5"/>
    <n v="2"/>
    <s v="Q2"/>
  </r>
  <r>
    <n v="163"/>
    <x v="0"/>
    <x v="4"/>
    <x v="11"/>
    <n v="5670"/>
    <n v="297"/>
    <d v="2023-06-12T00:00:00"/>
    <n v="1683990"/>
    <n v="12"/>
    <s v="Monday"/>
    <x v="5"/>
    <x v="5"/>
    <n v="2"/>
    <s v="Q2"/>
  </r>
  <r>
    <n v="164"/>
    <x v="5"/>
    <x v="1"/>
    <x v="10"/>
    <n v="2135"/>
    <n v="27"/>
    <d v="2023-06-13T00:00:00"/>
    <n v="57645"/>
    <n v="13"/>
    <s v="Tuesday"/>
    <x v="5"/>
    <x v="5"/>
    <n v="2"/>
    <s v="Q2"/>
  </r>
  <r>
    <n v="165"/>
    <x v="0"/>
    <x v="5"/>
    <x v="14"/>
    <n v="2779"/>
    <n v="75"/>
    <d v="2023-06-14T00:00:00"/>
    <n v="208425"/>
    <n v="14"/>
    <s v="Wednesday"/>
    <x v="5"/>
    <x v="5"/>
    <n v="2"/>
    <s v="Q2"/>
  </r>
  <r>
    <n v="166"/>
    <x v="9"/>
    <x v="3"/>
    <x v="5"/>
    <n v="12950"/>
    <n v="30"/>
    <d v="2023-06-15T00:00:00"/>
    <n v="388500"/>
    <n v="15"/>
    <s v="Thursday"/>
    <x v="5"/>
    <x v="5"/>
    <n v="2"/>
    <s v="Q2"/>
  </r>
  <r>
    <n v="167"/>
    <x v="5"/>
    <x v="2"/>
    <x v="3"/>
    <n v="2646"/>
    <n v="177"/>
    <d v="2023-06-16T00:00:00"/>
    <n v="468342"/>
    <n v="16"/>
    <s v="Friday"/>
    <x v="5"/>
    <x v="5"/>
    <n v="2"/>
    <s v="Q2"/>
  </r>
  <r>
    <n v="168"/>
    <x v="0"/>
    <x v="5"/>
    <x v="5"/>
    <n v="3794"/>
    <n v="159"/>
    <d v="2023-06-17T00:00:00"/>
    <n v="603246"/>
    <n v="17"/>
    <s v="Saturday"/>
    <x v="5"/>
    <x v="5"/>
    <n v="2"/>
    <s v="Q2"/>
  </r>
  <r>
    <n v="169"/>
    <x v="8"/>
    <x v="1"/>
    <x v="5"/>
    <n v="819"/>
    <n v="306"/>
    <d v="2023-06-18T00:00:00"/>
    <n v="250614"/>
    <n v="18"/>
    <s v="Sunday"/>
    <x v="5"/>
    <x v="5"/>
    <n v="2"/>
    <s v="Q2"/>
  </r>
  <r>
    <n v="170"/>
    <x v="8"/>
    <x v="5"/>
    <x v="13"/>
    <n v="2583"/>
    <n v="18"/>
    <d v="2023-06-19T00:00:00"/>
    <n v="46494"/>
    <n v="19"/>
    <s v="Monday"/>
    <x v="5"/>
    <x v="5"/>
    <n v="2"/>
    <s v="Q2"/>
  </r>
  <r>
    <n v="171"/>
    <x v="5"/>
    <x v="1"/>
    <x v="15"/>
    <n v="4585"/>
    <n v="240"/>
    <d v="2023-06-20T00:00:00"/>
    <n v="1100400"/>
    <n v="20"/>
    <s v="Tuesday"/>
    <x v="5"/>
    <x v="5"/>
    <n v="2"/>
    <s v="Q2"/>
  </r>
  <r>
    <n v="172"/>
    <x v="6"/>
    <x v="5"/>
    <x v="5"/>
    <n v="1652"/>
    <n v="93"/>
    <d v="2023-06-21T00:00:00"/>
    <n v="153636"/>
    <n v="21"/>
    <s v="Wednesday"/>
    <x v="5"/>
    <x v="5"/>
    <n v="2"/>
    <s v="Q2"/>
  </r>
  <r>
    <n v="173"/>
    <x v="9"/>
    <x v="5"/>
    <x v="21"/>
    <n v="4991"/>
    <n v="9"/>
    <d v="2023-06-22T00:00:00"/>
    <n v="44919"/>
    <n v="22"/>
    <s v="Thursday"/>
    <x v="5"/>
    <x v="5"/>
    <n v="2"/>
    <s v="Q2"/>
  </r>
  <r>
    <n v="174"/>
    <x v="1"/>
    <x v="5"/>
    <x v="10"/>
    <n v="2009"/>
    <n v="219"/>
    <d v="2023-06-23T00:00:00"/>
    <n v="439971"/>
    <n v="23"/>
    <s v="Friday"/>
    <x v="5"/>
    <x v="5"/>
    <n v="2"/>
    <s v="Q2"/>
  </r>
  <r>
    <n v="175"/>
    <x v="7"/>
    <x v="3"/>
    <x v="7"/>
    <n v="1568"/>
    <n v="141"/>
    <d v="2023-06-24T00:00:00"/>
    <n v="221088"/>
    <n v="24"/>
    <s v="Saturday"/>
    <x v="5"/>
    <x v="5"/>
    <n v="2"/>
    <s v="Q2"/>
  </r>
  <r>
    <n v="176"/>
    <x v="3"/>
    <x v="0"/>
    <x v="13"/>
    <n v="3388"/>
    <n v="123"/>
    <d v="2023-06-25T00:00:00"/>
    <n v="416724"/>
    <n v="25"/>
    <s v="Sunday"/>
    <x v="5"/>
    <x v="5"/>
    <n v="2"/>
    <s v="Q2"/>
  </r>
  <r>
    <n v="177"/>
    <x v="0"/>
    <x v="4"/>
    <x v="17"/>
    <n v="623"/>
    <n v="51"/>
    <d v="2023-06-26T00:00:00"/>
    <n v="31773"/>
    <n v="26"/>
    <s v="Monday"/>
    <x v="5"/>
    <x v="5"/>
    <n v="2"/>
    <s v="Q2"/>
  </r>
  <r>
    <n v="178"/>
    <x v="4"/>
    <x v="2"/>
    <x v="2"/>
    <n v="10073"/>
    <n v="120"/>
    <d v="2023-06-27T00:00:00"/>
    <n v="1208760"/>
    <n v="27"/>
    <s v="Tuesday"/>
    <x v="5"/>
    <x v="5"/>
    <n v="2"/>
    <s v="Q2"/>
  </r>
  <r>
    <n v="179"/>
    <x v="1"/>
    <x v="3"/>
    <x v="21"/>
    <n v="1561"/>
    <n v="27"/>
    <d v="2023-06-28T00:00:00"/>
    <n v="42147"/>
    <n v="28"/>
    <s v="Wednesday"/>
    <x v="5"/>
    <x v="5"/>
    <n v="2"/>
    <s v="Q2"/>
  </r>
  <r>
    <n v="180"/>
    <x v="2"/>
    <x v="2"/>
    <x v="18"/>
    <n v="11522"/>
    <n v="204"/>
    <d v="2023-06-29T00:00:00"/>
    <n v="2350488"/>
    <n v="29"/>
    <s v="Thursday"/>
    <x v="5"/>
    <x v="5"/>
    <n v="2"/>
    <s v="Q2"/>
  </r>
  <r>
    <n v="181"/>
    <x v="4"/>
    <x v="4"/>
    <x v="11"/>
    <n v="2317"/>
    <n v="123"/>
    <d v="2023-06-30T00:00:00"/>
    <n v="284991"/>
    <n v="30"/>
    <s v="Friday"/>
    <x v="5"/>
    <x v="5"/>
    <n v="2"/>
    <s v="Q2"/>
  </r>
  <r>
    <n v="182"/>
    <x v="9"/>
    <x v="0"/>
    <x v="19"/>
    <n v="3059"/>
    <n v="27"/>
    <d v="2023-07-01T00:00:00"/>
    <n v="82593"/>
    <n v="1"/>
    <s v="Saturday"/>
    <x v="6"/>
    <x v="6"/>
    <n v="3"/>
    <s v="Q3"/>
  </r>
  <r>
    <n v="183"/>
    <x v="3"/>
    <x v="0"/>
    <x v="21"/>
    <n v="2324"/>
    <n v="177"/>
    <d v="2023-07-02T00:00:00"/>
    <n v="411348"/>
    <n v="2"/>
    <s v="Sunday"/>
    <x v="6"/>
    <x v="6"/>
    <n v="3"/>
    <s v="Q3"/>
  </r>
  <r>
    <n v="184"/>
    <x v="8"/>
    <x v="3"/>
    <x v="21"/>
    <n v="4956"/>
    <n v="171"/>
    <d v="2023-07-03T00:00:00"/>
    <n v="847476"/>
    <n v="3"/>
    <s v="Monday"/>
    <x v="6"/>
    <x v="6"/>
    <n v="3"/>
    <s v="Q3"/>
  </r>
  <r>
    <n v="185"/>
    <x v="9"/>
    <x v="5"/>
    <x v="15"/>
    <n v="5355"/>
    <n v="204"/>
    <d v="2023-07-04T00:00:00"/>
    <n v="1092420"/>
    <n v="4"/>
    <s v="Tuesday"/>
    <x v="6"/>
    <x v="6"/>
    <n v="3"/>
    <s v="Q3"/>
  </r>
  <r>
    <n v="186"/>
    <x v="8"/>
    <x v="5"/>
    <x v="8"/>
    <n v="7259"/>
    <n v="276"/>
    <d v="2023-07-05T00:00:00"/>
    <n v="2003484"/>
    <n v="5"/>
    <s v="Wednesday"/>
    <x v="6"/>
    <x v="6"/>
    <n v="3"/>
    <s v="Q3"/>
  </r>
  <r>
    <n v="187"/>
    <x v="1"/>
    <x v="0"/>
    <x v="21"/>
    <n v="6279"/>
    <n v="45"/>
    <d v="2023-07-06T00:00:00"/>
    <n v="282555"/>
    <n v="6"/>
    <s v="Thursday"/>
    <x v="6"/>
    <x v="6"/>
    <n v="3"/>
    <s v="Q3"/>
  </r>
  <r>
    <n v="188"/>
    <x v="0"/>
    <x v="4"/>
    <x v="12"/>
    <n v="2541"/>
    <n v="45"/>
    <d v="2023-07-07T00:00:00"/>
    <n v="114345"/>
    <n v="7"/>
    <s v="Friday"/>
    <x v="6"/>
    <x v="6"/>
    <n v="3"/>
    <s v="Q3"/>
  </r>
  <r>
    <n v="189"/>
    <x v="4"/>
    <x v="1"/>
    <x v="18"/>
    <n v="3864"/>
    <n v="177"/>
    <d v="2023-07-08T00:00:00"/>
    <n v="683928"/>
    <n v="8"/>
    <s v="Saturday"/>
    <x v="6"/>
    <x v="6"/>
    <n v="3"/>
    <s v="Q3"/>
  </r>
  <r>
    <n v="190"/>
    <x v="6"/>
    <x v="2"/>
    <x v="11"/>
    <n v="6146"/>
    <n v="63"/>
    <d v="2023-07-09T00:00:00"/>
    <n v="387198"/>
    <n v="9"/>
    <s v="Sunday"/>
    <x v="6"/>
    <x v="6"/>
    <n v="3"/>
    <s v="Q3"/>
  </r>
  <r>
    <n v="191"/>
    <x v="2"/>
    <x v="3"/>
    <x v="3"/>
    <n v="2639"/>
    <n v="204"/>
    <d v="2023-07-10T00:00:00"/>
    <n v="538356"/>
    <n v="10"/>
    <s v="Monday"/>
    <x v="6"/>
    <x v="6"/>
    <n v="3"/>
    <s v="Q3"/>
  </r>
  <r>
    <n v="192"/>
    <x v="1"/>
    <x v="0"/>
    <x v="7"/>
    <n v="1890"/>
    <n v="195"/>
    <d v="2023-07-11T00:00:00"/>
    <n v="368550"/>
    <n v="11"/>
    <s v="Tuesday"/>
    <x v="6"/>
    <x v="6"/>
    <n v="3"/>
    <s v="Q3"/>
  </r>
  <r>
    <n v="193"/>
    <x v="5"/>
    <x v="5"/>
    <x v="8"/>
    <n v="1932"/>
    <n v="369"/>
    <d v="2023-07-12T00:00:00"/>
    <n v="712908"/>
    <n v="12"/>
    <s v="Wednesday"/>
    <x v="6"/>
    <x v="6"/>
    <n v="3"/>
    <s v="Q3"/>
  </r>
  <r>
    <n v="194"/>
    <x v="8"/>
    <x v="5"/>
    <x v="4"/>
    <n v="6300"/>
    <n v="42"/>
    <d v="2023-07-13T00:00:00"/>
    <n v="264600"/>
    <n v="13"/>
    <s v="Thursday"/>
    <x v="6"/>
    <x v="6"/>
    <n v="3"/>
    <s v="Q3"/>
  </r>
  <r>
    <n v="195"/>
    <x v="4"/>
    <x v="0"/>
    <x v="0"/>
    <n v="560"/>
    <n v="81"/>
    <d v="2023-07-14T00:00:00"/>
    <n v="45360"/>
    <n v="14"/>
    <s v="Friday"/>
    <x v="6"/>
    <x v="6"/>
    <n v="3"/>
    <s v="Q3"/>
  </r>
  <r>
    <n v="196"/>
    <x v="2"/>
    <x v="0"/>
    <x v="21"/>
    <n v="2856"/>
    <n v="246"/>
    <d v="2023-07-15T00:00:00"/>
    <n v="702576"/>
    <n v="15"/>
    <s v="Saturday"/>
    <x v="6"/>
    <x v="6"/>
    <n v="3"/>
    <s v="Q3"/>
  </r>
  <r>
    <n v="197"/>
    <x v="2"/>
    <x v="5"/>
    <x v="9"/>
    <n v="707"/>
    <n v="174"/>
    <d v="2023-07-16T00:00:00"/>
    <n v="123018"/>
    <n v="16"/>
    <s v="Sunday"/>
    <x v="6"/>
    <x v="6"/>
    <n v="3"/>
    <s v="Q3"/>
  </r>
  <r>
    <n v="198"/>
    <x v="1"/>
    <x v="1"/>
    <x v="0"/>
    <n v="3598"/>
    <n v="81"/>
    <d v="2023-07-17T00:00:00"/>
    <n v="291438"/>
    <n v="17"/>
    <s v="Monday"/>
    <x v="6"/>
    <x v="6"/>
    <n v="3"/>
    <s v="Q3"/>
  </r>
  <r>
    <n v="199"/>
    <x v="0"/>
    <x v="1"/>
    <x v="7"/>
    <n v="6853"/>
    <n v="372"/>
    <d v="2023-07-18T00:00:00"/>
    <n v="2549316"/>
    <n v="18"/>
    <s v="Tuesday"/>
    <x v="6"/>
    <x v="6"/>
    <n v="3"/>
    <s v="Q3"/>
  </r>
  <r>
    <n v="200"/>
    <x v="0"/>
    <x v="1"/>
    <x v="10"/>
    <n v="4725"/>
    <n v="174"/>
    <d v="2023-07-19T00:00:00"/>
    <n v="822150"/>
    <n v="19"/>
    <s v="Wednesday"/>
    <x v="6"/>
    <x v="6"/>
    <n v="3"/>
    <s v="Q3"/>
  </r>
  <r>
    <n v="201"/>
    <x v="3"/>
    <x v="2"/>
    <x v="1"/>
    <n v="10304"/>
    <n v="84"/>
    <d v="2023-07-20T00:00:00"/>
    <n v="865536"/>
    <n v="20"/>
    <s v="Thursday"/>
    <x v="6"/>
    <x v="6"/>
    <n v="3"/>
    <s v="Q3"/>
  </r>
  <r>
    <n v="202"/>
    <x v="3"/>
    <x v="5"/>
    <x v="10"/>
    <n v="1274"/>
    <n v="225"/>
    <d v="2023-07-21T00:00:00"/>
    <n v="286650"/>
    <n v="21"/>
    <s v="Friday"/>
    <x v="6"/>
    <x v="6"/>
    <n v="3"/>
    <s v="Q3"/>
  </r>
  <r>
    <n v="203"/>
    <x v="6"/>
    <x v="2"/>
    <x v="0"/>
    <n v="1526"/>
    <n v="105"/>
    <d v="2023-07-22T00:00:00"/>
    <n v="160230"/>
    <n v="22"/>
    <s v="Saturday"/>
    <x v="6"/>
    <x v="6"/>
    <n v="3"/>
    <s v="Q3"/>
  </r>
  <r>
    <n v="204"/>
    <x v="0"/>
    <x v="3"/>
    <x v="19"/>
    <n v="3101"/>
    <n v="225"/>
    <d v="2023-07-23T00:00:00"/>
    <n v="697725"/>
    <n v="23"/>
    <s v="Sunday"/>
    <x v="6"/>
    <x v="6"/>
    <n v="3"/>
    <s v="Q3"/>
  </r>
  <r>
    <n v="205"/>
    <x v="7"/>
    <x v="0"/>
    <x v="8"/>
    <n v="1057"/>
    <n v="54"/>
    <d v="2023-07-24T00:00:00"/>
    <n v="57078"/>
    <n v="24"/>
    <s v="Monday"/>
    <x v="6"/>
    <x v="6"/>
    <n v="3"/>
    <s v="Q3"/>
  </r>
  <r>
    <n v="206"/>
    <x v="5"/>
    <x v="0"/>
    <x v="21"/>
    <n v="5306"/>
    <n v="0"/>
    <d v="2023-07-25T00:00:00"/>
    <n v="0"/>
    <n v="25"/>
    <s v="Tuesday"/>
    <x v="6"/>
    <x v="6"/>
    <n v="3"/>
    <s v="Q3"/>
  </r>
  <r>
    <n v="207"/>
    <x v="6"/>
    <x v="3"/>
    <x v="17"/>
    <n v="4018"/>
    <n v="171"/>
    <d v="2023-07-26T00:00:00"/>
    <n v="687078"/>
    <n v="26"/>
    <s v="Wednesday"/>
    <x v="6"/>
    <x v="6"/>
    <n v="3"/>
    <s v="Q3"/>
  </r>
  <r>
    <n v="208"/>
    <x v="2"/>
    <x v="5"/>
    <x v="10"/>
    <n v="938"/>
    <n v="189"/>
    <d v="2023-07-27T00:00:00"/>
    <n v="177282"/>
    <n v="27"/>
    <s v="Thursday"/>
    <x v="6"/>
    <x v="6"/>
    <n v="3"/>
    <s v="Q3"/>
  </r>
  <r>
    <n v="209"/>
    <x v="5"/>
    <x v="4"/>
    <x v="3"/>
    <n v="1778"/>
    <n v="270"/>
    <d v="2023-07-28T00:00:00"/>
    <n v="480060"/>
    <n v="28"/>
    <s v="Friday"/>
    <x v="6"/>
    <x v="6"/>
    <n v="3"/>
    <s v="Q3"/>
  </r>
  <r>
    <n v="210"/>
    <x v="4"/>
    <x v="3"/>
    <x v="0"/>
    <n v="1638"/>
    <n v="63"/>
    <d v="2023-07-29T00:00:00"/>
    <n v="103194"/>
    <n v="29"/>
    <s v="Saturday"/>
    <x v="6"/>
    <x v="6"/>
    <n v="3"/>
    <s v="Q3"/>
  </r>
  <r>
    <n v="211"/>
    <x v="3"/>
    <x v="4"/>
    <x v="4"/>
    <n v="154"/>
    <n v="21"/>
    <d v="2023-07-30T00:00:00"/>
    <n v="3234"/>
    <n v="30"/>
    <s v="Sunday"/>
    <x v="6"/>
    <x v="6"/>
    <n v="3"/>
    <s v="Q3"/>
  </r>
  <r>
    <n v="212"/>
    <x v="5"/>
    <x v="0"/>
    <x v="7"/>
    <n v="9835"/>
    <n v="207"/>
    <d v="2023-07-31T00:00:00"/>
    <n v="2035845"/>
    <n v="31"/>
    <s v="Monday"/>
    <x v="6"/>
    <x v="6"/>
    <n v="3"/>
    <s v="Q3"/>
  </r>
  <r>
    <n v="213"/>
    <x v="2"/>
    <x v="0"/>
    <x v="13"/>
    <n v="7273"/>
    <n v="96"/>
    <d v="2023-08-01T00:00:00"/>
    <n v="698208"/>
    <n v="1"/>
    <s v="Tuesday"/>
    <x v="7"/>
    <x v="7"/>
    <n v="3"/>
    <s v="Q3"/>
  </r>
  <r>
    <n v="214"/>
    <x v="6"/>
    <x v="3"/>
    <x v="7"/>
    <n v="6909"/>
    <n v="81"/>
    <d v="2023-08-02T00:00:00"/>
    <n v="559629"/>
    <n v="2"/>
    <s v="Wednesday"/>
    <x v="7"/>
    <x v="7"/>
    <n v="3"/>
    <s v="Q3"/>
  </r>
  <r>
    <n v="215"/>
    <x v="2"/>
    <x v="3"/>
    <x v="17"/>
    <n v="3920"/>
    <n v="306"/>
    <d v="2023-08-03T00:00:00"/>
    <n v="1199520"/>
    <n v="3"/>
    <s v="Thursday"/>
    <x v="7"/>
    <x v="7"/>
    <n v="3"/>
    <s v="Q3"/>
  </r>
  <r>
    <n v="216"/>
    <x v="9"/>
    <x v="3"/>
    <x v="20"/>
    <n v="4858"/>
    <n v="279"/>
    <d v="2023-08-04T00:00:00"/>
    <n v="1355382"/>
    <n v="4"/>
    <s v="Friday"/>
    <x v="7"/>
    <x v="7"/>
    <n v="3"/>
    <s v="Q3"/>
  </r>
  <r>
    <n v="217"/>
    <x v="7"/>
    <x v="4"/>
    <x v="2"/>
    <n v="3549"/>
    <n v="3"/>
    <d v="2023-08-05T00:00:00"/>
    <n v="10647"/>
    <n v="5"/>
    <s v="Saturday"/>
    <x v="7"/>
    <x v="7"/>
    <n v="3"/>
    <s v="Q3"/>
  </r>
  <r>
    <n v="218"/>
    <x v="5"/>
    <x v="3"/>
    <x v="18"/>
    <n v="966"/>
    <n v="198"/>
    <d v="2023-08-06T00:00:00"/>
    <n v="191268"/>
    <n v="6"/>
    <s v="Sunday"/>
    <x v="7"/>
    <x v="7"/>
    <n v="3"/>
    <s v="Q3"/>
  </r>
  <r>
    <n v="219"/>
    <x v="6"/>
    <x v="3"/>
    <x v="3"/>
    <n v="385"/>
    <n v="249"/>
    <d v="2023-08-07T00:00:00"/>
    <n v="95865"/>
    <n v="7"/>
    <s v="Monday"/>
    <x v="7"/>
    <x v="7"/>
    <n v="3"/>
    <s v="Q3"/>
  </r>
  <r>
    <n v="220"/>
    <x v="4"/>
    <x v="5"/>
    <x v="10"/>
    <n v="2219"/>
    <n v="75"/>
    <d v="2023-08-08T00:00:00"/>
    <n v="166425"/>
    <n v="8"/>
    <s v="Tuesday"/>
    <x v="7"/>
    <x v="7"/>
    <n v="3"/>
    <s v="Q3"/>
  </r>
  <r>
    <n v="221"/>
    <x v="2"/>
    <x v="2"/>
    <x v="1"/>
    <n v="2954"/>
    <n v="189"/>
    <d v="2023-08-09T00:00:00"/>
    <n v="558306"/>
    <n v="9"/>
    <s v="Wednesday"/>
    <x v="7"/>
    <x v="7"/>
    <n v="3"/>
    <s v="Q3"/>
  </r>
  <r>
    <n v="222"/>
    <x v="5"/>
    <x v="2"/>
    <x v="1"/>
    <n v="280"/>
    <n v="87"/>
    <d v="2023-08-10T00:00:00"/>
    <n v="24360"/>
    <n v="10"/>
    <s v="Thursday"/>
    <x v="7"/>
    <x v="7"/>
    <n v="3"/>
    <s v="Q3"/>
  </r>
  <r>
    <n v="223"/>
    <x v="3"/>
    <x v="2"/>
    <x v="0"/>
    <n v="6118"/>
    <n v="174"/>
    <d v="2023-08-11T00:00:00"/>
    <n v="1064532"/>
    <n v="11"/>
    <s v="Friday"/>
    <x v="7"/>
    <x v="7"/>
    <n v="3"/>
    <s v="Q3"/>
  </r>
  <r>
    <n v="224"/>
    <x v="7"/>
    <x v="3"/>
    <x v="16"/>
    <n v="4802"/>
    <n v="36"/>
    <d v="2023-08-12T00:00:00"/>
    <n v="172872"/>
    <n v="12"/>
    <s v="Saturday"/>
    <x v="7"/>
    <x v="7"/>
    <n v="3"/>
    <s v="Q3"/>
  </r>
  <r>
    <n v="225"/>
    <x v="2"/>
    <x v="4"/>
    <x v="17"/>
    <n v="4137"/>
    <n v="60"/>
    <d v="2023-08-13T00:00:00"/>
    <n v="248220"/>
    <n v="13"/>
    <s v="Sunday"/>
    <x v="7"/>
    <x v="7"/>
    <n v="3"/>
    <s v="Q3"/>
  </r>
  <r>
    <n v="226"/>
    <x v="8"/>
    <x v="1"/>
    <x v="14"/>
    <n v="2023"/>
    <n v="78"/>
    <d v="2023-08-14T00:00:00"/>
    <n v="157794"/>
    <n v="14"/>
    <s v="Monday"/>
    <x v="7"/>
    <x v="7"/>
    <n v="3"/>
    <s v="Q3"/>
  </r>
  <r>
    <n v="227"/>
    <x v="2"/>
    <x v="2"/>
    <x v="0"/>
    <n v="9051"/>
    <n v="57"/>
    <d v="2023-08-15T00:00:00"/>
    <n v="515907"/>
    <n v="15"/>
    <s v="Tuesday"/>
    <x v="7"/>
    <x v="7"/>
    <n v="3"/>
    <s v="Q3"/>
  </r>
  <r>
    <n v="228"/>
    <x v="2"/>
    <x v="0"/>
    <x v="19"/>
    <n v="2919"/>
    <n v="45"/>
    <d v="2023-08-16T00:00:00"/>
    <n v="131355"/>
    <n v="16"/>
    <s v="Wednesday"/>
    <x v="7"/>
    <x v="7"/>
    <n v="3"/>
    <s v="Q3"/>
  </r>
  <r>
    <n v="229"/>
    <x v="3"/>
    <x v="4"/>
    <x v="7"/>
    <n v="5915"/>
    <n v="3"/>
    <d v="2023-08-17T00:00:00"/>
    <n v="17745"/>
    <n v="17"/>
    <s v="Thursday"/>
    <x v="7"/>
    <x v="7"/>
    <n v="3"/>
    <s v="Q3"/>
  </r>
  <r>
    <n v="230"/>
    <x v="9"/>
    <x v="1"/>
    <x v="16"/>
    <n v="2562"/>
    <n v="6"/>
    <d v="2023-08-18T00:00:00"/>
    <n v="15372"/>
    <n v="18"/>
    <s v="Friday"/>
    <x v="7"/>
    <x v="7"/>
    <n v="3"/>
    <s v="Q3"/>
  </r>
  <r>
    <n v="231"/>
    <x v="6"/>
    <x v="0"/>
    <x v="4"/>
    <n v="8813"/>
    <n v="21"/>
    <d v="2023-08-19T00:00:00"/>
    <n v="185073"/>
    <n v="19"/>
    <s v="Saturday"/>
    <x v="7"/>
    <x v="7"/>
    <n v="3"/>
    <s v="Q3"/>
  </r>
  <r>
    <n v="232"/>
    <x v="6"/>
    <x v="2"/>
    <x v="3"/>
    <n v="6111"/>
    <n v="3"/>
    <d v="2023-08-20T00:00:00"/>
    <n v="18333"/>
    <n v="20"/>
    <s v="Sunday"/>
    <x v="7"/>
    <x v="7"/>
    <n v="3"/>
    <s v="Q3"/>
  </r>
  <r>
    <n v="233"/>
    <x v="1"/>
    <x v="5"/>
    <x v="6"/>
    <n v="3507"/>
    <n v="288"/>
    <d v="2023-08-21T00:00:00"/>
    <n v="1010016"/>
    <n v="21"/>
    <s v="Monday"/>
    <x v="7"/>
    <x v="7"/>
    <n v="3"/>
    <s v="Q3"/>
  </r>
  <r>
    <n v="234"/>
    <x v="4"/>
    <x v="2"/>
    <x v="11"/>
    <n v="4319"/>
    <n v="30"/>
    <d v="2023-08-22T00:00:00"/>
    <n v="129570"/>
    <n v="22"/>
    <s v="Tuesday"/>
    <x v="7"/>
    <x v="7"/>
    <n v="3"/>
    <s v="Q3"/>
  </r>
  <r>
    <n v="235"/>
    <x v="0"/>
    <x v="4"/>
    <x v="21"/>
    <n v="609"/>
    <n v="87"/>
    <d v="2023-08-23T00:00:00"/>
    <n v="52983"/>
    <n v="23"/>
    <s v="Wednesday"/>
    <x v="7"/>
    <x v="7"/>
    <n v="3"/>
    <s v="Q3"/>
  </r>
  <r>
    <n v="236"/>
    <x v="0"/>
    <x v="3"/>
    <x v="18"/>
    <n v="6370"/>
    <n v="30"/>
    <d v="2023-08-24T00:00:00"/>
    <n v="191100"/>
    <n v="24"/>
    <s v="Thursday"/>
    <x v="7"/>
    <x v="7"/>
    <n v="3"/>
    <s v="Q3"/>
  </r>
  <r>
    <n v="237"/>
    <x v="6"/>
    <x v="4"/>
    <x v="15"/>
    <n v="5474"/>
    <n v="168"/>
    <d v="2023-08-25T00:00:00"/>
    <n v="919632"/>
    <n v="25"/>
    <s v="Friday"/>
    <x v="7"/>
    <x v="7"/>
    <n v="3"/>
    <s v="Q3"/>
  </r>
  <r>
    <n v="238"/>
    <x v="0"/>
    <x v="2"/>
    <x v="18"/>
    <n v="3164"/>
    <n v="306"/>
    <d v="2023-08-26T00:00:00"/>
    <n v="968184"/>
    <n v="26"/>
    <s v="Saturday"/>
    <x v="7"/>
    <x v="7"/>
    <n v="3"/>
    <s v="Q3"/>
  </r>
  <r>
    <n v="239"/>
    <x v="4"/>
    <x v="1"/>
    <x v="2"/>
    <n v="1302"/>
    <n v="402"/>
    <d v="2023-08-27T00:00:00"/>
    <n v="523404"/>
    <n v="27"/>
    <s v="Sunday"/>
    <x v="7"/>
    <x v="7"/>
    <n v="3"/>
    <s v="Q3"/>
  </r>
  <r>
    <n v="240"/>
    <x v="8"/>
    <x v="0"/>
    <x v="19"/>
    <n v="7308"/>
    <n v="327"/>
    <d v="2023-08-28T00:00:00"/>
    <n v="2389716"/>
    <n v="28"/>
    <s v="Monday"/>
    <x v="7"/>
    <x v="7"/>
    <n v="3"/>
    <s v="Q3"/>
  </r>
  <r>
    <n v="241"/>
    <x v="0"/>
    <x v="0"/>
    <x v="18"/>
    <n v="6132"/>
    <n v="93"/>
    <d v="2023-08-29T00:00:00"/>
    <n v="570276"/>
    <n v="29"/>
    <s v="Tuesday"/>
    <x v="7"/>
    <x v="7"/>
    <n v="3"/>
    <s v="Q3"/>
  </r>
  <r>
    <n v="242"/>
    <x v="9"/>
    <x v="1"/>
    <x v="8"/>
    <n v="3472"/>
    <n v="96"/>
    <d v="2023-08-30T00:00:00"/>
    <n v="333312"/>
    <n v="30"/>
    <s v="Wednesday"/>
    <x v="7"/>
    <x v="7"/>
    <n v="3"/>
    <s v="Q3"/>
  </r>
  <r>
    <n v="243"/>
    <x v="1"/>
    <x v="3"/>
    <x v="3"/>
    <n v="9660"/>
    <n v="27"/>
    <d v="2023-08-31T00:00:00"/>
    <n v="260820"/>
    <n v="31"/>
    <s v="Thursday"/>
    <x v="7"/>
    <x v="7"/>
    <n v="3"/>
    <s v="Q3"/>
  </r>
  <r>
    <n v="244"/>
    <x v="2"/>
    <x v="4"/>
    <x v="21"/>
    <n v="2436"/>
    <n v="99"/>
    <d v="2023-09-01T00:00:00"/>
    <n v="241164"/>
    <n v="1"/>
    <s v="Friday"/>
    <x v="8"/>
    <x v="8"/>
    <n v="3"/>
    <s v="Q3"/>
  </r>
  <r>
    <n v="245"/>
    <x v="2"/>
    <x v="4"/>
    <x v="5"/>
    <n v="9506"/>
    <n v="87"/>
    <d v="2023-09-02T00:00:00"/>
    <n v="827022"/>
    <n v="2"/>
    <s v="Saturday"/>
    <x v="8"/>
    <x v="8"/>
    <n v="3"/>
    <s v="Q3"/>
  </r>
  <r>
    <n v="246"/>
    <x v="9"/>
    <x v="0"/>
    <x v="20"/>
    <n v="245"/>
    <n v="288"/>
    <d v="2023-09-03T00:00:00"/>
    <n v="70560"/>
    <n v="3"/>
    <s v="Sunday"/>
    <x v="8"/>
    <x v="8"/>
    <n v="3"/>
    <s v="Q3"/>
  </r>
  <r>
    <n v="247"/>
    <x v="1"/>
    <x v="1"/>
    <x v="13"/>
    <n v="2702"/>
    <n v="363"/>
    <d v="2023-09-04T00:00:00"/>
    <n v="980826"/>
    <n v="4"/>
    <s v="Monday"/>
    <x v="8"/>
    <x v="8"/>
    <n v="3"/>
    <s v="Q3"/>
  </r>
  <r>
    <n v="248"/>
    <x v="9"/>
    <x v="5"/>
    <x v="9"/>
    <n v="700"/>
    <n v="87"/>
    <d v="2023-09-05T00:00:00"/>
    <n v="60900"/>
    <n v="5"/>
    <s v="Tuesday"/>
    <x v="8"/>
    <x v="8"/>
    <n v="3"/>
    <s v="Q3"/>
  </r>
  <r>
    <n v="249"/>
    <x v="4"/>
    <x v="5"/>
    <x v="9"/>
    <n v="3759"/>
    <n v="150"/>
    <d v="2023-09-06T00:00:00"/>
    <n v="563850"/>
    <n v="6"/>
    <s v="Wednesday"/>
    <x v="8"/>
    <x v="8"/>
    <n v="3"/>
    <s v="Q3"/>
  </r>
  <r>
    <n v="250"/>
    <x v="7"/>
    <x v="1"/>
    <x v="9"/>
    <n v="1589"/>
    <n v="303"/>
    <d v="2023-09-07T00:00:00"/>
    <n v="481467"/>
    <n v="7"/>
    <s v="Thursday"/>
    <x v="8"/>
    <x v="8"/>
    <n v="3"/>
    <s v="Q3"/>
  </r>
  <r>
    <n v="251"/>
    <x v="5"/>
    <x v="1"/>
    <x v="19"/>
    <n v="5194"/>
    <n v="288"/>
    <d v="2023-09-08T00:00:00"/>
    <n v="1495872"/>
    <n v="8"/>
    <s v="Friday"/>
    <x v="8"/>
    <x v="8"/>
    <n v="3"/>
    <s v="Q3"/>
  </r>
  <r>
    <n v="252"/>
    <x v="9"/>
    <x v="2"/>
    <x v="11"/>
    <n v="945"/>
    <n v="75"/>
    <d v="2023-09-09T00:00:00"/>
    <n v="70875"/>
    <n v="9"/>
    <s v="Saturday"/>
    <x v="8"/>
    <x v="8"/>
    <n v="3"/>
    <s v="Q3"/>
  </r>
  <r>
    <n v="253"/>
    <x v="0"/>
    <x v="4"/>
    <x v="6"/>
    <n v="1988"/>
    <n v="39"/>
    <d v="2023-09-10T00:00:00"/>
    <n v="77532"/>
    <n v="10"/>
    <s v="Sunday"/>
    <x v="8"/>
    <x v="8"/>
    <n v="3"/>
    <s v="Q3"/>
  </r>
  <r>
    <n v="254"/>
    <x v="4"/>
    <x v="5"/>
    <x v="1"/>
    <n v="6734"/>
    <n v="123"/>
    <d v="2023-09-11T00:00:00"/>
    <n v="828282"/>
    <n v="11"/>
    <s v="Monday"/>
    <x v="8"/>
    <x v="8"/>
    <n v="3"/>
    <s v="Q3"/>
  </r>
  <r>
    <n v="255"/>
    <x v="0"/>
    <x v="2"/>
    <x v="2"/>
    <n v="217"/>
    <n v="36"/>
    <d v="2023-09-12T00:00:00"/>
    <n v="7812"/>
    <n v="12"/>
    <s v="Tuesday"/>
    <x v="8"/>
    <x v="8"/>
    <n v="3"/>
    <s v="Q3"/>
  </r>
  <r>
    <n v="256"/>
    <x v="6"/>
    <x v="5"/>
    <x v="7"/>
    <n v="6279"/>
    <n v="237"/>
    <d v="2023-09-13T00:00:00"/>
    <n v="1488123"/>
    <n v="13"/>
    <s v="Wednesday"/>
    <x v="8"/>
    <x v="8"/>
    <n v="3"/>
    <s v="Q3"/>
  </r>
  <r>
    <n v="257"/>
    <x v="0"/>
    <x v="2"/>
    <x v="11"/>
    <n v="4424"/>
    <n v="201"/>
    <d v="2023-09-14T00:00:00"/>
    <n v="889224"/>
    <n v="14"/>
    <s v="Thursday"/>
    <x v="8"/>
    <x v="8"/>
    <n v="3"/>
    <s v="Q3"/>
  </r>
  <r>
    <n v="258"/>
    <x v="7"/>
    <x v="2"/>
    <x v="9"/>
    <n v="189"/>
    <n v="48"/>
    <d v="2023-09-15T00:00:00"/>
    <n v="9072"/>
    <n v="15"/>
    <s v="Friday"/>
    <x v="8"/>
    <x v="8"/>
    <n v="3"/>
    <s v="Q3"/>
  </r>
  <r>
    <n v="259"/>
    <x v="6"/>
    <x v="1"/>
    <x v="7"/>
    <n v="490"/>
    <n v="84"/>
    <d v="2023-09-16T00:00:00"/>
    <n v="41160"/>
    <n v="16"/>
    <s v="Saturday"/>
    <x v="8"/>
    <x v="8"/>
    <n v="3"/>
    <s v="Q3"/>
  </r>
  <r>
    <n v="260"/>
    <x v="1"/>
    <x v="0"/>
    <x v="20"/>
    <n v="434"/>
    <n v="87"/>
    <d v="2023-09-17T00:00:00"/>
    <n v="37758"/>
    <n v="17"/>
    <s v="Sunday"/>
    <x v="8"/>
    <x v="8"/>
    <n v="3"/>
    <s v="Q3"/>
  </r>
  <r>
    <n v="261"/>
    <x v="5"/>
    <x v="4"/>
    <x v="0"/>
    <n v="10129"/>
    <n v="312"/>
    <d v="2023-09-18T00:00:00"/>
    <n v="3160248"/>
    <n v="18"/>
    <s v="Monday"/>
    <x v="8"/>
    <x v="8"/>
    <n v="3"/>
    <s v="Q3"/>
  </r>
  <r>
    <n v="262"/>
    <x v="8"/>
    <x v="3"/>
    <x v="19"/>
    <n v="1652"/>
    <n v="102"/>
    <d v="2023-09-19T00:00:00"/>
    <n v="168504"/>
    <n v="19"/>
    <s v="Tuesday"/>
    <x v="8"/>
    <x v="8"/>
    <n v="3"/>
    <s v="Q3"/>
  </r>
  <r>
    <n v="263"/>
    <x v="1"/>
    <x v="4"/>
    <x v="20"/>
    <n v="6433"/>
    <n v="78"/>
    <d v="2023-09-20T00:00:00"/>
    <n v="501774"/>
    <n v="20"/>
    <s v="Wednesday"/>
    <x v="8"/>
    <x v="8"/>
    <n v="3"/>
    <s v="Q3"/>
  </r>
  <r>
    <n v="264"/>
    <x v="8"/>
    <x v="5"/>
    <x v="14"/>
    <n v="2212"/>
    <n v="117"/>
    <d v="2023-09-21T00:00:00"/>
    <n v="258804"/>
    <n v="21"/>
    <s v="Thursday"/>
    <x v="8"/>
    <x v="8"/>
    <n v="3"/>
    <s v="Q3"/>
  </r>
  <r>
    <n v="265"/>
    <x v="3"/>
    <x v="1"/>
    <x v="15"/>
    <n v="609"/>
    <n v="99"/>
    <d v="2023-09-22T00:00:00"/>
    <n v="60291"/>
    <n v="22"/>
    <s v="Friday"/>
    <x v="8"/>
    <x v="8"/>
    <n v="3"/>
    <s v="Q3"/>
  </r>
  <r>
    <n v="266"/>
    <x v="0"/>
    <x v="1"/>
    <x v="17"/>
    <n v="1638"/>
    <n v="48"/>
    <d v="2023-09-23T00:00:00"/>
    <n v="78624"/>
    <n v="23"/>
    <s v="Saturday"/>
    <x v="8"/>
    <x v="8"/>
    <n v="3"/>
    <s v="Q3"/>
  </r>
  <r>
    <n v="267"/>
    <x v="5"/>
    <x v="5"/>
    <x v="16"/>
    <n v="3829"/>
    <n v="24"/>
    <d v="2023-09-24T00:00:00"/>
    <n v="91896"/>
    <n v="24"/>
    <s v="Sunday"/>
    <x v="8"/>
    <x v="8"/>
    <n v="3"/>
    <s v="Q3"/>
  </r>
  <r>
    <n v="268"/>
    <x v="0"/>
    <x v="3"/>
    <x v="16"/>
    <n v="5775"/>
    <n v="42"/>
    <d v="2023-09-25T00:00:00"/>
    <n v="242550"/>
    <n v="25"/>
    <s v="Monday"/>
    <x v="8"/>
    <x v="8"/>
    <n v="3"/>
    <s v="Q3"/>
  </r>
  <r>
    <n v="269"/>
    <x v="4"/>
    <x v="1"/>
    <x v="13"/>
    <n v="1071"/>
    <n v="270"/>
    <d v="2023-09-26T00:00:00"/>
    <n v="289170"/>
    <n v="26"/>
    <s v="Tuesday"/>
    <x v="8"/>
    <x v="8"/>
    <n v="3"/>
    <s v="Q3"/>
  </r>
  <r>
    <n v="270"/>
    <x v="1"/>
    <x v="2"/>
    <x v="14"/>
    <n v="5019"/>
    <n v="150"/>
    <d v="2023-09-27T00:00:00"/>
    <n v="752850"/>
    <n v="27"/>
    <s v="Wednesday"/>
    <x v="8"/>
    <x v="8"/>
    <n v="3"/>
    <s v="Q3"/>
  </r>
  <r>
    <n v="271"/>
    <x v="7"/>
    <x v="0"/>
    <x v="16"/>
    <n v="2863"/>
    <n v="42"/>
    <d v="2023-09-28T00:00:00"/>
    <n v="120246"/>
    <n v="28"/>
    <s v="Thursday"/>
    <x v="8"/>
    <x v="8"/>
    <n v="3"/>
    <s v="Q3"/>
  </r>
  <r>
    <n v="272"/>
    <x v="0"/>
    <x v="1"/>
    <x v="12"/>
    <n v="1617"/>
    <n v="126"/>
    <d v="2023-09-29T00:00:00"/>
    <n v="203742"/>
    <n v="29"/>
    <s v="Friday"/>
    <x v="8"/>
    <x v="8"/>
    <n v="3"/>
    <s v="Q3"/>
  </r>
  <r>
    <n v="273"/>
    <x v="4"/>
    <x v="0"/>
    <x v="21"/>
    <n v="6818"/>
    <n v="6"/>
    <d v="2023-09-30T00:00:00"/>
    <n v="40908"/>
    <n v="30"/>
    <s v="Saturday"/>
    <x v="8"/>
    <x v="8"/>
    <n v="3"/>
    <s v="Q3"/>
  </r>
  <r>
    <n v="274"/>
    <x v="8"/>
    <x v="1"/>
    <x v="16"/>
    <n v="6657"/>
    <n v="276"/>
    <d v="2023-10-01T00:00:00"/>
    <n v="1837332"/>
    <n v="1"/>
    <s v="Sunday"/>
    <x v="9"/>
    <x v="9"/>
    <n v="4"/>
    <s v="Q4"/>
  </r>
  <r>
    <n v="275"/>
    <x v="8"/>
    <x v="5"/>
    <x v="9"/>
    <n v="2919"/>
    <n v="93"/>
    <d v="2023-10-02T00:00:00"/>
    <n v="271467"/>
    <n v="2"/>
    <s v="Monday"/>
    <x v="9"/>
    <x v="9"/>
    <n v="4"/>
    <s v="Q4"/>
  </r>
  <r>
    <n v="276"/>
    <x v="7"/>
    <x v="2"/>
    <x v="6"/>
    <n v="3094"/>
    <n v="246"/>
    <d v="2023-10-03T00:00:00"/>
    <n v="761124"/>
    <n v="3"/>
    <s v="Tuesday"/>
    <x v="9"/>
    <x v="9"/>
    <n v="4"/>
    <s v="Q4"/>
  </r>
  <r>
    <n v="277"/>
    <x v="4"/>
    <x v="3"/>
    <x v="17"/>
    <n v="2989"/>
    <n v="3"/>
    <d v="2023-10-04T00:00:00"/>
    <n v="8967"/>
    <n v="4"/>
    <s v="Wednesday"/>
    <x v="9"/>
    <x v="9"/>
    <n v="4"/>
    <s v="Q4"/>
  </r>
  <r>
    <n v="278"/>
    <x v="1"/>
    <x v="4"/>
    <x v="18"/>
    <n v="2268"/>
    <n v="63"/>
    <d v="2023-10-05T00:00:00"/>
    <n v="142884"/>
    <n v="5"/>
    <s v="Thursday"/>
    <x v="9"/>
    <x v="9"/>
    <n v="4"/>
    <s v="Q4"/>
  </r>
  <r>
    <n v="279"/>
    <x v="6"/>
    <x v="1"/>
    <x v="6"/>
    <n v="4753"/>
    <n v="246"/>
    <d v="2023-10-06T00:00:00"/>
    <n v="1169238"/>
    <n v="6"/>
    <s v="Friday"/>
    <x v="9"/>
    <x v="9"/>
    <n v="4"/>
    <s v="Q4"/>
  </r>
  <r>
    <n v="280"/>
    <x v="7"/>
    <x v="5"/>
    <x v="15"/>
    <n v="7511"/>
    <n v="120"/>
    <d v="2023-10-07T00:00:00"/>
    <n v="901320"/>
    <n v="7"/>
    <s v="Saturday"/>
    <x v="9"/>
    <x v="9"/>
    <n v="4"/>
    <s v="Q4"/>
  </r>
  <r>
    <n v="281"/>
    <x v="7"/>
    <x v="4"/>
    <x v="6"/>
    <n v="4326"/>
    <n v="348"/>
    <d v="2023-10-08T00:00:00"/>
    <n v="1505448"/>
    <n v="8"/>
    <s v="Sunday"/>
    <x v="9"/>
    <x v="9"/>
    <n v="4"/>
    <s v="Q4"/>
  </r>
  <r>
    <n v="282"/>
    <x v="3"/>
    <x v="5"/>
    <x v="14"/>
    <n v="4935"/>
    <n v="126"/>
    <d v="2023-10-09T00:00:00"/>
    <n v="621810"/>
    <n v="9"/>
    <s v="Monday"/>
    <x v="9"/>
    <x v="9"/>
    <n v="4"/>
    <s v="Q4"/>
  </r>
  <r>
    <n v="283"/>
    <x v="4"/>
    <x v="1"/>
    <x v="0"/>
    <n v="4781"/>
    <n v="123"/>
    <d v="2023-10-10T00:00:00"/>
    <n v="588063"/>
    <n v="10"/>
    <s v="Tuesday"/>
    <x v="9"/>
    <x v="9"/>
    <n v="4"/>
    <s v="Q4"/>
  </r>
  <r>
    <n v="284"/>
    <x v="6"/>
    <x v="4"/>
    <x v="4"/>
    <n v="7483"/>
    <n v="45"/>
    <d v="2023-10-11T00:00:00"/>
    <n v="336735"/>
    <n v="11"/>
    <s v="Wednesday"/>
    <x v="9"/>
    <x v="9"/>
    <n v="4"/>
    <s v="Q4"/>
  </r>
  <r>
    <n v="285"/>
    <x v="9"/>
    <x v="4"/>
    <x v="2"/>
    <n v="6860"/>
    <n v="126"/>
    <d v="2023-10-12T00:00:00"/>
    <n v="864360"/>
    <n v="12"/>
    <s v="Thursday"/>
    <x v="9"/>
    <x v="9"/>
    <n v="4"/>
    <s v="Q4"/>
  </r>
  <r>
    <n v="286"/>
    <x v="0"/>
    <x v="0"/>
    <x v="12"/>
    <n v="9002"/>
    <n v="72"/>
    <d v="2023-10-13T00:00:00"/>
    <n v="648144"/>
    <n v="13"/>
    <s v="Friday"/>
    <x v="9"/>
    <x v="9"/>
    <n v="4"/>
    <s v="Q4"/>
  </r>
  <r>
    <n v="287"/>
    <x v="4"/>
    <x v="2"/>
    <x v="12"/>
    <n v="1400"/>
    <n v="135"/>
    <d v="2023-10-14T00:00:00"/>
    <n v="189000"/>
    <n v="14"/>
    <s v="Saturday"/>
    <x v="9"/>
    <x v="9"/>
    <n v="4"/>
    <s v="Q4"/>
  </r>
  <r>
    <n v="288"/>
    <x v="9"/>
    <x v="5"/>
    <x v="7"/>
    <n v="4053"/>
    <n v="24"/>
    <d v="2023-10-15T00:00:00"/>
    <n v="97272"/>
    <n v="15"/>
    <s v="Sunday"/>
    <x v="9"/>
    <x v="9"/>
    <n v="4"/>
    <s v="Q4"/>
  </r>
  <r>
    <n v="289"/>
    <x v="5"/>
    <x v="2"/>
    <x v="6"/>
    <n v="2149"/>
    <n v="117"/>
    <d v="2023-10-16T00:00:00"/>
    <n v="251433"/>
    <n v="16"/>
    <s v="Monday"/>
    <x v="9"/>
    <x v="9"/>
    <n v="4"/>
    <s v="Q4"/>
  </r>
  <r>
    <n v="290"/>
    <x v="8"/>
    <x v="3"/>
    <x v="12"/>
    <n v="3640"/>
    <n v="51"/>
    <d v="2023-10-17T00:00:00"/>
    <n v="185640"/>
    <n v="17"/>
    <s v="Tuesday"/>
    <x v="9"/>
    <x v="9"/>
    <n v="4"/>
    <s v="Q4"/>
  </r>
  <r>
    <n v="291"/>
    <x v="7"/>
    <x v="3"/>
    <x v="14"/>
    <n v="630"/>
    <n v="36"/>
    <d v="2023-10-18T00:00:00"/>
    <n v="22680"/>
    <n v="18"/>
    <s v="Wednesday"/>
    <x v="9"/>
    <x v="9"/>
    <n v="4"/>
    <s v="Q4"/>
  </r>
  <r>
    <n v="292"/>
    <x v="2"/>
    <x v="1"/>
    <x v="18"/>
    <n v="2429"/>
    <n v="144"/>
    <d v="2023-10-19T00:00:00"/>
    <n v="349776"/>
    <n v="19"/>
    <s v="Thursday"/>
    <x v="9"/>
    <x v="9"/>
    <n v="4"/>
    <s v="Q4"/>
  </r>
  <r>
    <n v="293"/>
    <x v="2"/>
    <x v="2"/>
    <x v="4"/>
    <n v="2142"/>
    <n v="114"/>
    <d v="2023-10-20T00:00:00"/>
    <n v="244188"/>
    <n v="20"/>
    <s v="Friday"/>
    <x v="9"/>
    <x v="9"/>
    <n v="4"/>
    <s v="Q4"/>
  </r>
  <r>
    <n v="294"/>
    <x v="5"/>
    <x v="0"/>
    <x v="0"/>
    <n v="6454"/>
    <n v="54"/>
    <d v="2023-10-21T00:00:00"/>
    <n v="348516"/>
    <n v="21"/>
    <s v="Saturday"/>
    <x v="9"/>
    <x v="9"/>
    <n v="4"/>
    <s v="Q4"/>
  </r>
  <r>
    <n v="295"/>
    <x v="5"/>
    <x v="0"/>
    <x v="10"/>
    <n v="4487"/>
    <n v="333"/>
    <d v="2023-10-22T00:00:00"/>
    <n v="1494171"/>
    <n v="22"/>
    <s v="Sunday"/>
    <x v="9"/>
    <x v="9"/>
    <n v="4"/>
    <s v="Q4"/>
  </r>
  <r>
    <n v="296"/>
    <x v="8"/>
    <x v="0"/>
    <x v="2"/>
    <n v="938"/>
    <n v="366"/>
    <d v="2023-10-23T00:00:00"/>
    <n v="343308"/>
    <n v="23"/>
    <s v="Monday"/>
    <x v="9"/>
    <x v="9"/>
    <n v="4"/>
    <s v="Q4"/>
  </r>
  <r>
    <n v="297"/>
    <x v="8"/>
    <x v="4"/>
    <x v="21"/>
    <n v="8841"/>
    <n v="303"/>
    <d v="2023-10-24T00:00:00"/>
    <n v="2678823"/>
    <n v="24"/>
    <s v="Tuesday"/>
    <x v="9"/>
    <x v="9"/>
    <n v="4"/>
    <s v="Q4"/>
  </r>
  <r>
    <n v="298"/>
    <x v="7"/>
    <x v="3"/>
    <x v="5"/>
    <n v="4018"/>
    <n v="126"/>
    <d v="2023-10-25T00:00:00"/>
    <n v="506268"/>
    <n v="25"/>
    <s v="Wednesday"/>
    <x v="9"/>
    <x v="9"/>
    <n v="4"/>
    <s v="Q4"/>
  </r>
  <r>
    <n v="299"/>
    <x v="3"/>
    <x v="0"/>
    <x v="16"/>
    <n v="714"/>
    <n v="231"/>
    <d v="2023-10-26T00:00:00"/>
    <n v="164934"/>
    <n v="26"/>
    <s v="Thursday"/>
    <x v="9"/>
    <x v="9"/>
    <n v="4"/>
    <s v="Q4"/>
  </r>
  <r>
    <n v="300"/>
    <x v="2"/>
    <x v="4"/>
    <x v="4"/>
    <n v="3850"/>
    <n v="102"/>
    <d v="2023-10-27T00:00:00"/>
    <n v="392700"/>
    <n v="27"/>
    <s v="Friday"/>
    <x v="9"/>
    <x v="9"/>
    <n v="4"/>
    <s v="Q4"/>
  </r>
  <r>
    <n v="301"/>
    <x v="7"/>
    <x v="4"/>
    <x v="6"/>
    <n v="4326"/>
    <n v="348"/>
    <d v="2023-10-28T00:00:00"/>
    <n v="1505448"/>
    <n v="28"/>
    <s v="Saturday"/>
    <x v="9"/>
    <x v="9"/>
    <n v="4"/>
    <s v="Q4"/>
  </r>
  <r>
    <n v="302"/>
    <x v="3"/>
    <x v="5"/>
    <x v="14"/>
    <n v="4935"/>
    <n v="126"/>
    <d v="2023-10-29T00:00:00"/>
    <n v="621810"/>
    <n v="29"/>
    <s v="Sunday"/>
    <x v="9"/>
    <x v="9"/>
    <n v="4"/>
    <s v="Q4"/>
  </r>
  <r>
    <n v="303"/>
    <x v="4"/>
    <x v="1"/>
    <x v="0"/>
    <n v="4781"/>
    <n v="123"/>
    <d v="2023-10-30T00:00:00"/>
    <n v="588063"/>
    <n v="30"/>
    <s v="Monday"/>
    <x v="9"/>
    <x v="9"/>
    <n v="4"/>
    <s v="Q4"/>
  </r>
  <r>
    <n v="304"/>
    <x v="6"/>
    <x v="4"/>
    <x v="4"/>
    <n v="7483"/>
    <n v="45"/>
    <d v="2023-10-31T00:00:00"/>
    <n v="336735"/>
    <n v="31"/>
    <s v="Tuesday"/>
    <x v="9"/>
    <x v="9"/>
    <n v="4"/>
    <s v="Q4"/>
  </r>
  <r>
    <n v="305"/>
    <x v="9"/>
    <x v="4"/>
    <x v="2"/>
    <n v="6860"/>
    <n v="126"/>
    <d v="2023-11-01T00:00:00"/>
    <n v="864360"/>
    <n v="1"/>
    <s v="Wednesday"/>
    <x v="10"/>
    <x v="10"/>
    <n v="4"/>
    <s v="Q4"/>
  </r>
  <r>
    <n v="306"/>
    <x v="7"/>
    <x v="4"/>
    <x v="6"/>
    <n v="4326"/>
    <n v="348"/>
    <d v="2023-11-02T00:00:00"/>
    <n v="1505448"/>
    <n v="2"/>
    <s v="Thursday"/>
    <x v="10"/>
    <x v="10"/>
    <n v="4"/>
    <s v="Q4"/>
  </r>
  <r>
    <n v="307"/>
    <x v="3"/>
    <x v="5"/>
    <x v="14"/>
    <n v="4935"/>
    <n v="126"/>
    <d v="2023-11-03T00:00:00"/>
    <n v="621810"/>
    <n v="3"/>
    <s v="Friday"/>
    <x v="10"/>
    <x v="10"/>
    <n v="4"/>
    <s v="Q4"/>
  </r>
  <r>
    <n v="308"/>
    <x v="4"/>
    <x v="1"/>
    <x v="0"/>
    <n v="4781"/>
    <n v="123"/>
    <d v="2023-11-04T00:00:00"/>
    <n v="588063"/>
    <n v="4"/>
    <s v="Saturday"/>
    <x v="10"/>
    <x v="10"/>
    <n v="4"/>
    <s v="Q4"/>
  </r>
  <r>
    <n v="309"/>
    <x v="6"/>
    <x v="4"/>
    <x v="4"/>
    <n v="7483"/>
    <n v="45"/>
    <d v="2023-11-05T00:00:00"/>
    <n v="336735"/>
    <n v="5"/>
    <s v="Sunday"/>
    <x v="10"/>
    <x v="10"/>
    <n v="4"/>
    <s v="Q4"/>
  </r>
  <r>
    <n v="310"/>
    <x v="9"/>
    <x v="4"/>
    <x v="2"/>
    <n v="6860"/>
    <n v="126"/>
    <d v="2023-11-06T00:00:00"/>
    <n v="864360"/>
    <n v="6"/>
    <s v="Monday"/>
    <x v="10"/>
    <x v="10"/>
    <n v="4"/>
    <s v="Q4"/>
  </r>
  <r>
    <n v="311"/>
    <x v="7"/>
    <x v="4"/>
    <x v="6"/>
    <n v="4326"/>
    <n v="348"/>
    <d v="2023-11-07T00:00:00"/>
    <n v="1505448"/>
    <n v="7"/>
    <s v="Tuesday"/>
    <x v="10"/>
    <x v="10"/>
    <n v="4"/>
    <s v="Q4"/>
  </r>
  <r>
    <n v="312"/>
    <x v="3"/>
    <x v="5"/>
    <x v="14"/>
    <n v="4935"/>
    <n v="126"/>
    <d v="2023-11-08T00:00:00"/>
    <n v="621810"/>
    <n v="8"/>
    <s v="Wednesday"/>
    <x v="10"/>
    <x v="10"/>
    <n v="4"/>
    <s v="Q4"/>
  </r>
  <r>
    <n v="313"/>
    <x v="4"/>
    <x v="1"/>
    <x v="0"/>
    <n v="4781"/>
    <n v="123"/>
    <d v="2023-11-09T00:00:00"/>
    <n v="588063"/>
    <n v="9"/>
    <s v="Thursday"/>
    <x v="10"/>
    <x v="10"/>
    <n v="4"/>
    <s v="Q4"/>
  </r>
  <r>
    <n v="314"/>
    <x v="6"/>
    <x v="4"/>
    <x v="4"/>
    <n v="7483"/>
    <n v="45"/>
    <d v="2023-11-10T00:00:00"/>
    <n v="336735"/>
    <n v="10"/>
    <s v="Friday"/>
    <x v="10"/>
    <x v="10"/>
    <n v="4"/>
    <s v="Q4"/>
  </r>
  <r>
    <n v="315"/>
    <x v="9"/>
    <x v="4"/>
    <x v="2"/>
    <n v="6860"/>
    <n v="126"/>
    <d v="2023-11-11T00:00:00"/>
    <n v="864360"/>
    <n v="11"/>
    <s v="Saturday"/>
    <x v="10"/>
    <x v="10"/>
    <n v="4"/>
    <s v="Q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73B6AE-9F02-4023-8C30-5ED0E576D7E3}" name="PivotTable17"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8">
  <location ref="DF18:DH31" firstHeaderRow="1" firstDataRow="2" firstDataCol="1"/>
  <pivotFields count="14">
    <pivotField showAll="0"/>
    <pivotField showAll="0">
      <items count="11">
        <item x="9"/>
        <item x="1"/>
        <item x="4"/>
        <item x="6"/>
        <item x="2"/>
        <item x="7"/>
        <item x="8"/>
        <item x="0"/>
        <item x="3"/>
        <item x="5"/>
        <item t="default"/>
      </items>
    </pivotField>
    <pivotField showAll="0"/>
    <pivotField axis="axisCol" showAll="0" measureFilter="1">
      <items count="23">
        <item x="8"/>
        <item x="0"/>
        <item x="17"/>
        <item x="15"/>
        <item x="7"/>
        <item x="2"/>
        <item x="21"/>
        <item x="19"/>
        <item x="1"/>
        <item x="3"/>
        <item x="9"/>
        <item x="14"/>
        <item x="12"/>
        <item x="11"/>
        <item x="10"/>
        <item x="13"/>
        <item x="18"/>
        <item x="5"/>
        <item x="16"/>
        <item x="6"/>
        <item x="20"/>
        <item x="4"/>
        <item t="default"/>
      </items>
    </pivotField>
    <pivotField showAll="0"/>
    <pivotField showAll="0"/>
    <pivotField numFmtId="14" showAll="0"/>
    <pivotField dataField="1" showAll="0"/>
    <pivotField showAll="0"/>
    <pivotField showAll="0"/>
    <pivotField showAll="0"/>
    <pivotField axis="axisRow" showAll="0" sortType="ascending">
      <items count="12">
        <item x="0"/>
        <item x="1"/>
        <item x="2"/>
        <item x="3"/>
        <item x="4"/>
        <item x="5"/>
        <item x="6"/>
        <item x="7"/>
        <item x="8"/>
        <item x="9"/>
        <item x="10"/>
        <item t="default"/>
      </items>
      <autoSortScope>
        <pivotArea dataOnly="0" outline="0" fieldPosition="0">
          <references count="2">
            <reference field="4294967294" count="1" selected="0">
              <x v="0"/>
            </reference>
            <reference field="3" count="1" selected="0">
              <x v="20"/>
            </reference>
          </references>
        </pivotArea>
      </autoSortScope>
    </pivotField>
    <pivotField showAll="0"/>
    <pivotField showAll="0"/>
  </pivotFields>
  <rowFields count="1">
    <field x="11"/>
  </rowFields>
  <rowItems count="12">
    <i>
      <x v="9"/>
    </i>
    <i>
      <x v="10"/>
    </i>
    <i>
      <x v="6"/>
    </i>
    <i>
      <x/>
    </i>
    <i>
      <x v="3"/>
    </i>
    <i>
      <x v="1"/>
    </i>
    <i>
      <x v="2"/>
    </i>
    <i>
      <x v="4"/>
    </i>
    <i>
      <x v="8"/>
    </i>
    <i>
      <x v="7"/>
    </i>
    <i>
      <x v="5"/>
    </i>
    <i t="grand">
      <x/>
    </i>
  </rowItems>
  <colFields count="1">
    <field x="3"/>
  </colFields>
  <colItems count="2">
    <i>
      <x v="20"/>
    </i>
    <i t="grand">
      <x/>
    </i>
  </colItems>
  <dataFields count="1">
    <dataField name="Sum of Total sales" fld="7" baseField="11" baseItem="2" numFmtId="3"/>
  </dataFields>
  <chartFormats count="3">
    <chartFormat chart="0" format="0" series="1">
      <pivotArea type="data" outline="0" fieldPosition="0">
        <references count="2">
          <reference field="4294967294" count="1" selected="0">
            <x v="0"/>
          </reference>
          <reference field="3" count="1" selected="0">
            <x v="20"/>
          </reference>
        </references>
      </pivotArea>
    </chartFormat>
    <chartFormat chart="4" format="2" series="1">
      <pivotArea type="data" outline="0" fieldPosition="0">
        <references count="2">
          <reference field="4294967294" count="1" selected="0">
            <x v="0"/>
          </reference>
          <reference field="3" count="1" selected="0">
            <x v="20"/>
          </reference>
        </references>
      </pivotArea>
    </chartFormat>
    <chartFormat chart="17" format="4" series="1">
      <pivotArea type="data" outline="0" fieldPosition="0">
        <references count="2">
          <reference field="4294967294" count="1" selected="0">
            <x v="0"/>
          </reference>
          <reference field="3" count="1" selected="0">
            <x v="2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E55C24-68C0-493F-8300-95C56BF3F137}" name="PivotTable8" cacheId="1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X3:Y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 sales" fld="1" showDataAs="percentOfCol" baseField="0" baseItem="0" numFmtId="1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0" count="1" selected="0">
            <x v="0"/>
          </reference>
        </references>
      </pivotArea>
    </chartFormat>
    <chartFormat chart="5" format="16">
      <pivotArea type="data" outline="0" fieldPosition="0">
        <references count="2">
          <reference field="4294967294" count="1" selected="0">
            <x v="0"/>
          </reference>
          <reference field="0" count="1" selected="0">
            <x v="1"/>
          </reference>
        </references>
      </pivotArea>
    </chartFormat>
    <chartFormat chart="5" format="17">
      <pivotArea type="data" outline="0" fieldPosition="0">
        <references count="2">
          <reference field="4294967294" count="1" selected="0">
            <x v="0"/>
          </reference>
          <reference field="0" count="1" selected="0">
            <x v="2"/>
          </reference>
        </references>
      </pivotArea>
    </chartFormat>
    <chartFormat chart="5" format="18">
      <pivotArea type="data" outline="0" fieldPosition="0">
        <references count="2">
          <reference field="4294967294" count="1" selected="0">
            <x v="0"/>
          </reference>
          <reference field="0" count="1" selected="0">
            <x v="3"/>
          </reference>
        </references>
      </pivotArea>
    </chartFormat>
    <chartFormat chart="5" format="19">
      <pivotArea type="data" outline="0" fieldPosition="0">
        <references count="2">
          <reference field="4294967294" count="1" selected="0">
            <x v="0"/>
          </reference>
          <reference field="0" count="1" selected="0">
            <x v="4"/>
          </reference>
        </references>
      </pivotArea>
    </chartFormat>
    <chartFormat chart="5" format="20">
      <pivotArea type="data" outline="0" fieldPosition="0">
        <references count="2">
          <reference field="4294967294" count="1" selected="0">
            <x v="0"/>
          </reference>
          <reference field="0" count="1" selected="0">
            <x v="5"/>
          </reference>
        </references>
      </pivotArea>
    </chartFormat>
    <chartFormat chart="14" format="28" series="1">
      <pivotArea type="data" outline="0" fieldPosition="0">
        <references count="1">
          <reference field="4294967294" count="1" selected="0">
            <x v="0"/>
          </reference>
        </references>
      </pivotArea>
    </chartFormat>
    <chartFormat chart="14" format="29">
      <pivotArea type="data" outline="0" fieldPosition="0">
        <references count="2">
          <reference field="4294967294" count="1" selected="0">
            <x v="0"/>
          </reference>
          <reference field="0" count="1" selected="0">
            <x v="0"/>
          </reference>
        </references>
      </pivotArea>
    </chartFormat>
    <chartFormat chart="14" format="30">
      <pivotArea type="data" outline="0" fieldPosition="0">
        <references count="2">
          <reference field="4294967294" count="1" selected="0">
            <x v="0"/>
          </reference>
          <reference field="0" count="1" selected="0">
            <x v="1"/>
          </reference>
        </references>
      </pivotArea>
    </chartFormat>
    <chartFormat chart="14" format="31">
      <pivotArea type="data" outline="0" fieldPosition="0">
        <references count="2">
          <reference field="4294967294" count="1" selected="0">
            <x v="0"/>
          </reference>
          <reference field="0" count="1" selected="0">
            <x v="2"/>
          </reference>
        </references>
      </pivotArea>
    </chartFormat>
    <chartFormat chart="14" format="32">
      <pivotArea type="data" outline="0" fieldPosition="0">
        <references count="2">
          <reference field="4294967294" count="1" selected="0">
            <x v="0"/>
          </reference>
          <reference field="0" count="1" selected="0">
            <x v="3"/>
          </reference>
        </references>
      </pivotArea>
    </chartFormat>
    <chartFormat chart="14" format="33">
      <pivotArea type="data" outline="0" fieldPosition="0">
        <references count="2">
          <reference field="4294967294" count="1" selected="0">
            <x v="0"/>
          </reference>
          <reference field="0" count="1" selected="0">
            <x v="4"/>
          </reference>
        </references>
      </pivotArea>
    </chartFormat>
    <chartFormat chart="14" format="34">
      <pivotArea type="data" outline="0" fieldPosition="0">
        <references count="2">
          <reference field="4294967294" count="1" selected="0">
            <x v="0"/>
          </reference>
          <reference field="0" count="1" selected="0">
            <x v="5"/>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_task(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0C1B68-B7E1-476D-B316-DD708CD68584}" name="PivotTable16"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K13:DM21" firstHeaderRow="1" firstDataRow="2" firstDataCol="1"/>
  <pivotFields count="14">
    <pivotField showAll="0"/>
    <pivotField showAll="0"/>
    <pivotField axis="axisRow" showAll="0" sortType="ascending">
      <items count="7">
        <item x="0"/>
        <item x="1"/>
        <item x="4"/>
        <item x="2"/>
        <item x="3"/>
        <item x="5"/>
        <item t="default"/>
      </items>
      <autoSortScope>
        <pivotArea dataOnly="0" outline="0" fieldPosition="0">
          <references count="2">
            <reference field="4294967294" count="1" selected="0">
              <x v="0"/>
            </reference>
            <reference field="3" count="1" selected="0">
              <x v="20"/>
            </reference>
          </references>
        </pivotArea>
      </autoSortScope>
    </pivotField>
    <pivotField axis="axisCol" showAll="0" measureFilter="1" sortType="ascending">
      <items count="23">
        <item x="8"/>
        <item x="0"/>
        <item x="17"/>
        <item x="15"/>
        <item x="7"/>
        <item x="2"/>
        <item x="21"/>
        <item x="19"/>
        <item x="1"/>
        <item x="3"/>
        <item x="9"/>
        <item x="14"/>
        <item x="12"/>
        <item x="11"/>
        <item x="10"/>
        <item x="13"/>
        <item x="18"/>
        <item x="5"/>
        <item x="16"/>
        <item x="6"/>
        <item x="20"/>
        <item x="4"/>
        <item t="default"/>
      </items>
    </pivotField>
    <pivotField showAll="0"/>
    <pivotField showAll="0"/>
    <pivotField numFmtId="14" showAll="0"/>
    <pivotField dataField="1" showAll="0"/>
    <pivotField showAll="0"/>
    <pivotField showAll="0"/>
    <pivotField showAll="0"/>
    <pivotField showAll="0"/>
    <pivotField showAll="0"/>
    <pivotField showAll="0"/>
  </pivotFields>
  <rowFields count="1">
    <field x="2"/>
  </rowFields>
  <rowItems count="7">
    <i>
      <x v="3"/>
    </i>
    <i>
      <x v="1"/>
    </i>
    <i>
      <x/>
    </i>
    <i>
      <x v="5"/>
    </i>
    <i>
      <x v="2"/>
    </i>
    <i>
      <x v="4"/>
    </i>
    <i t="grand">
      <x/>
    </i>
  </rowItems>
  <colFields count="1">
    <field x="3"/>
  </colFields>
  <colItems count="2">
    <i>
      <x v="20"/>
    </i>
    <i t="grand">
      <x/>
    </i>
  </colItems>
  <dataFields count="1">
    <dataField name="Sum of Total sales" fld="7" baseField="0" baseItem="0"/>
  </dataFields>
  <pivotTableStyleInfo name="PivotStyleLight16" showRowHeaders="1" showColHeaders="1" showRowStripes="0" showColStripes="0" showLastColumn="1"/>
  <filters count="1">
    <filter fld="3" type="count" evalOrder="-1" id="1"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47A2C5-7B29-4C78-83BA-0BCD5D2B3846}" name="PivotTable4"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O3:P15" firstHeaderRow="1" firstDataRow="1" firstDataCol="1"/>
  <pivotFields count="3">
    <pivotField dataField="1" subtotalTop="0" showAll="0" defaultSubtotal="0"/>
    <pivotField axis="axisRow" allDrilled="1" subtotalTop="0" showAll="0" sortType="descending" dataSourceSort="1"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2">
    <i>
      <x v="3"/>
    </i>
    <i>
      <x v="5"/>
    </i>
    <i>
      <x v="6"/>
    </i>
    <i>
      <x/>
    </i>
    <i>
      <x v="9"/>
    </i>
    <i>
      <x v="7"/>
    </i>
    <i>
      <x v="4"/>
    </i>
    <i>
      <x v="2"/>
    </i>
    <i>
      <x v="1"/>
    </i>
    <i>
      <x v="10"/>
    </i>
    <i>
      <x v="8"/>
    </i>
    <i t="grand">
      <x/>
    </i>
  </rowItems>
  <colItems count="1">
    <i/>
  </colItems>
  <dataFields count="1">
    <dataField name="Sum of Total sales" fld="0"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_task(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8C8227-E67B-435E-AC5D-D98D5AC0A8E0}" name="PivotTable7"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7:U8" firstHeaderRow="1" firstDataRow="1" firstDataCol="0"/>
  <pivotFields count="1">
    <pivotField dataField="1" subtotalTop="0" showAll="0" defaultSubtotal="0"/>
  </pivotFields>
  <rowItems count="1">
    <i/>
  </rowItems>
  <colItems count="1">
    <i/>
  </colItems>
  <dataFields count="1">
    <dataField name="No.rigion" fld="0" subtotal="count" baseField="0" baseItem="0">
      <extLst>
        <ext xmlns:x15="http://schemas.microsoft.com/office/spreadsheetml/2010/11/main" uri="{FABC7310-3BB5-11E1-824E-6D434824019B}">
          <x15:dataField isCountDistinct="1"/>
        </ext>
      </extLst>
    </dataField>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No.rigion"/>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_task(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2D0E9D-7C4B-407D-AF3C-8FED3F939CD6}" name="PivotTable11"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4">
  <location ref="AW6:BH14" firstHeaderRow="1" firstDataRow="2" firstDataCol="1"/>
  <pivotFields count="14">
    <pivotField showAll="0"/>
    <pivotField showAll="0"/>
    <pivotField axis="axisRow" showAll="0">
      <items count="7">
        <item x="0"/>
        <item x="1"/>
        <item x="4"/>
        <item x="2"/>
        <item x="3"/>
        <item x="5"/>
        <item t="default"/>
      </items>
    </pivotField>
    <pivotField axis="axisCol" showAll="0" measureFilter="1" sortType="descending">
      <items count="23">
        <item x="4"/>
        <item x="20"/>
        <item x="6"/>
        <item x="16"/>
        <item x="5"/>
        <item x="18"/>
        <item x="13"/>
        <item x="10"/>
        <item x="11"/>
        <item x="12"/>
        <item x="14"/>
        <item x="9"/>
        <item x="3"/>
        <item x="1"/>
        <item x="19"/>
        <item x="21"/>
        <item x="2"/>
        <item x="7"/>
        <item x="15"/>
        <item x="17"/>
        <item x="0"/>
        <item x="8"/>
        <item t="default"/>
      </items>
    </pivotField>
    <pivotField showAll="0"/>
    <pivotField showAll="0"/>
    <pivotField numFmtId="14" showAll="0"/>
    <pivotField dataField="1"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3"/>
  </colFields>
  <colItems count="11">
    <i>
      <x/>
    </i>
    <i>
      <x v="1"/>
    </i>
    <i>
      <x v="5"/>
    </i>
    <i>
      <x v="7"/>
    </i>
    <i>
      <x v="8"/>
    </i>
    <i>
      <x v="10"/>
    </i>
    <i>
      <x v="11"/>
    </i>
    <i>
      <x v="16"/>
    </i>
    <i>
      <x v="18"/>
    </i>
    <i>
      <x v="19"/>
    </i>
    <i t="grand">
      <x/>
    </i>
  </colItems>
  <dataFields count="1">
    <dataField name="Average of Total sales" fld="7" subtotal="average" baseField="2" baseItem="0" numFmtId="3"/>
  </dataFields>
  <chartFormats count="40">
    <chartFormat chart="0" format="0" series="1">
      <pivotArea type="data" outline="0" fieldPosition="0">
        <references count="2">
          <reference field="4294967294" count="1" selected="0">
            <x v="0"/>
          </reference>
          <reference field="3" count="1" selected="0">
            <x v="2"/>
          </reference>
        </references>
      </pivotArea>
    </chartFormat>
    <chartFormat chart="0" format="1" series="1">
      <pivotArea type="data" outline="0" fieldPosition="0">
        <references count="2">
          <reference field="4294967294" count="1" selected="0">
            <x v="0"/>
          </reference>
          <reference field="3" count="1" selected="0">
            <x v="3"/>
          </reference>
        </references>
      </pivotArea>
    </chartFormat>
    <chartFormat chart="0" format="2" series="1">
      <pivotArea type="data" outline="0" fieldPosition="0">
        <references count="2">
          <reference field="4294967294" count="1" selected="0">
            <x v="0"/>
          </reference>
          <reference field="3" count="1" selected="0">
            <x v="4"/>
          </reference>
        </references>
      </pivotArea>
    </chartFormat>
    <chartFormat chart="0" format="3" series="1">
      <pivotArea type="data" outline="0" fieldPosition="0">
        <references count="2">
          <reference field="4294967294" count="1" selected="0">
            <x v="0"/>
          </reference>
          <reference field="3" count="1" selected="0">
            <x v="6"/>
          </reference>
        </references>
      </pivotArea>
    </chartFormat>
    <chartFormat chart="0" format="4" series="1">
      <pivotArea type="data" outline="0" fieldPosition="0">
        <references count="2">
          <reference field="4294967294" count="1" selected="0">
            <x v="0"/>
          </reference>
          <reference field="3" count="1" selected="0">
            <x v="12"/>
          </reference>
        </references>
      </pivotArea>
    </chartFormat>
    <chartFormat chart="0" format="5" series="1">
      <pivotArea type="data" outline="0" fieldPosition="0">
        <references count="2">
          <reference field="4294967294" count="1" selected="0">
            <x v="0"/>
          </reference>
          <reference field="3" count="1" selected="0">
            <x v="13"/>
          </reference>
        </references>
      </pivotArea>
    </chartFormat>
    <chartFormat chart="0" format="6" series="1">
      <pivotArea type="data" outline="0" fieldPosition="0">
        <references count="2">
          <reference field="4294967294" count="1" selected="0">
            <x v="0"/>
          </reference>
          <reference field="3" count="1" selected="0">
            <x v="14"/>
          </reference>
        </references>
      </pivotArea>
    </chartFormat>
    <chartFormat chart="0" format="7" series="1">
      <pivotArea type="data" outline="0" fieldPosition="0">
        <references count="2">
          <reference field="4294967294" count="1" selected="0">
            <x v="0"/>
          </reference>
          <reference field="3" count="1" selected="0">
            <x v="17"/>
          </reference>
        </references>
      </pivotArea>
    </chartFormat>
    <chartFormat chart="0" format="8" series="1">
      <pivotArea type="data" outline="0" fieldPosition="0">
        <references count="2">
          <reference field="4294967294" count="1" selected="0">
            <x v="0"/>
          </reference>
          <reference field="3" count="1" selected="0">
            <x v="20"/>
          </reference>
        </references>
      </pivotArea>
    </chartFormat>
    <chartFormat chart="0" format="9" series="1">
      <pivotArea type="data" outline="0" fieldPosition="0">
        <references count="2">
          <reference field="4294967294" count="1" selected="0">
            <x v="0"/>
          </reference>
          <reference field="3" count="1" selected="0">
            <x v="21"/>
          </reference>
        </references>
      </pivotArea>
    </chartFormat>
    <chartFormat chart="0" format="10" series="1">
      <pivotArea type="data" outline="0" fieldPosition="0">
        <references count="2">
          <reference field="4294967294" count="1" selected="0">
            <x v="0"/>
          </reference>
          <reference field="3" count="1" selected="0">
            <x v="0"/>
          </reference>
        </references>
      </pivotArea>
    </chartFormat>
    <chartFormat chart="0" format="11" series="1">
      <pivotArea type="data" outline="0" fieldPosition="0">
        <references count="2">
          <reference field="4294967294" count="1" selected="0">
            <x v="0"/>
          </reference>
          <reference field="3" count="1" selected="0">
            <x v="1"/>
          </reference>
        </references>
      </pivotArea>
    </chartFormat>
    <chartFormat chart="0" format="12" series="1">
      <pivotArea type="data" outline="0" fieldPosition="0">
        <references count="2">
          <reference field="4294967294" count="1" selected="0">
            <x v="0"/>
          </reference>
          <reference field="3" count="1" selected="0">
            <x v="5"/>
          </reference>
        </references>
      </pivotArea>
    </chartFormat>
    <chartFormat chart="0" format="13" series="1">
      <pivotArea type="data" outline="0" fieldPosition="0">
        <references count="2">
          <reference field="4294967294" count="1" selected="0">
            <x v="0"/>
          </reference>
          <reference field="3" count="1" selected="0">
            <x v="7"/>
          </reference>
        </references>
      </pivotArea>
    </chartFormat>
    <chartFormat chart="0" format="14" series="1">
      <pivotArea type="data" outline="0" fieldPosition="0">
        <references count="2">
          <reference field="4294967294" count="1" selected="0">
            <x v="0"/>
          </reference>
          <reference field="3" count="1" selected="0">
            <x v="8"/>
          </reference>
        </references>
      </pivotArea>
    </chartFormat>
    <chartFormat chart="0" format="15" series="1">
      <pivotArea type="data" outline="0" fieldPosition="0">
        <references count="2">
          <reference field="4294967294" count="1" selected="0">
            <x v="0"/>
          </reference>
          <reference field="3" count="1" selected="0">
            <x v="10"/>
          </reference>
        </references>
      </pivotArea>
    </chartFormat>
    <chartFormat chart="0" format="16" series="1">
      <pivotArea type="data" outline="0" fieldPosition="0">
        <references count="2">
          <reference field="4294967294" count="1" selected="0">
            <x v="0"/>
          </reference>
          <reference field="3" count="1" selected="0">
            <x v="11"/>
          </reference>
        </references>
      </pivotArea>
    </chartFormat>
    <chartFormat chart="0" format="17" series="1">
      <pivotArea type="data" outline="0" fieldPosition="0">
        <references count="2">
          <reference field="4294967294" count="1" selected="0">
            <x v="0"/>
          </reference>
          <reference field="3" count="1" selected="0">
            <x v="16"/>
          </reference>
        </references>
      </pivotArea>
    </chartFormat>
    <chartFormat chart="0" format="18" series="1">
      <pivotArea type="data" outline="0" fieldPosition="0">
        <references count="2">
          <reference field="4294967294" count="1" selected="0">
            <x v="0"/>
          </reference>
          <reference field="3" count="1" selected="0">
            <x v="18"/>
          </reference>
        </references>
      </pivotArea>
    </chartFormat>
    <chartFormat chart="0" format="19" series="1">
      <pivotArea type="data" outline="0" fieldPosition="0">
        <references count="2">
          <reference field="4294967294" count="1" selected="0">
            <x v="0"/>
          </reference>
          <reference field="3" count="1" selected="0">
            <x v="19"/>
          </reference>
        </references>
      </pivotArea>
    </chartFormat>
    <chartFormat chart="8" format="30" series="1">
      <pivotArea type="data" outline="0" fieldPosition="0">
        <references count="2">
          <reference field="4294967294" count="1" selected="0">
            <x v="0"/>
          </reference>
          <reference field="3" count="1" selected="0">
            <x v="0"/>
          </reference>
        </references>
      </pivotArea>
    </chartFormat>
    <chartFormat chart="8" format="31" series="1">
      <pivotArea type="data" outline="0" fieldPosition="0">
        <references count="2">
          <reference field="4294967294" count="1" selected="0">
            <x v="0"/>
          </reference>
          <reference field="3" count="1" selected="0">
            <x v="1"/>
          </reference>
        </references>
      </pivotArea>
    </chartFormat>
    <chartFormat chart="8" format="32" series="1">
      <pivotArea type="data" outline="0" fieldPosition="0">
        <references count="2">
          <reference field="4294967294" count="1" selected="0">
            <x v="0"/>
          </reference>
          <reference field="3" count="1" selected="0">
            <x v="5"/>
          </reference>
        </references>
      </pivotArea>
    </chartFormat>
    <chartFormat chart="8" format="33" series="1">
      <pivotArea type="data" outline="0" fieldPosition="0">
        <references count="2">
          <reference field="4294967294" count="1" selected="0">
            <x v="0"/>
          </reference>
          <reference field="3" count="1" selected="0">
            <x v="7"/>
          </reference>
        </references>
      </pivotArea>
    </chartFormat>
    <chartFormat chart="8" format="34" series="1">
      <pivotArea type="data" outline="0" fieldPosition="0">
        <references count="2">
          <reference field="4294967294" count="1" selected="0">
            <x v="0"/>
          </reference>
          <reference field="3" count="1" selected="0">
            <x v="8"/>
          </reference>
        </references>
      </pivotArea>
    </chartFormat>
    <chartFormat chart="8" format="35" series="1">
      <pivotArea type="data" outline="0" fieldPosition="0">
        <references count="2">
          <reference field="4294967294" count="1" selected="0">
            <x v="0"/>
          </reference>
          <reference field="3" count="1" selected="0">
            <x v="10"/>
          </reference>
        </references>
      </pivotArea>
    </chartFormat>
    <chartFormat chart="8" format="36" series="1">
      <pivotArea type="data" outline="0" fieldPosition="0">
        <references count="2">
          <reference field="4294967294" count="1" selected="0">
            <x v="0"/>
          </reference>
          <reference field="3" count="1" selected="0">
            <x v="11"/>
          </reference>
        </references>
      </pivotArea>
    </chartFormat>
    <chartFormat chart="8" format="37" series="1">
      <pivotArea type="data" outline="0" fieldPosition="0">
        <references count="2">
          <reference field="4294967294" count="1" selected="0">
            <x v="0"/>
          </reference>
          <reference field="3" count="1" selected="0">
            <x v="16"/>
          </reference>
        </references>
      </pivotArea>
    </chartFormat>
    <chartFormat chart="8" format="38" series="1">
      <pivotArea type="data" outline="0" fieldPosition="0">
        <references count="2">
          <reference field="4294967294" count="1" selected="0">
            <x v="0"/>
          </reference>
          <reference field="3" count="1" selected="0">
            <x v="18"/>
          </reference>
        </references>
      </pivotArea>
    </chartFormat>
    <chartFormat chart="8" format="39" series="1">
      <pivotArea type="data" outline="0" fieldPosition="0">
        <references count="2">
          <reference field="4294967294" count="1" selected="0">
            <x v="0"/>
          </reference>
          <reference field="3" count="1" selected="0">
            <x v="19"/>
          </reference>
        </references>
      </pivotArea>
    </chartFormat>
    <chartFormat chart="20" format="50" series="1">
      <pivotArea type="data" outline="0" fieldPosition="0">
        <references count="2">
          <reference field="4294967294" count="1" selected="0">
            <x v="0"/>
          </reference>
          <reference field="3" count="1" selected="0">
            <x v="0"/>
          </reference>
        </references>
      </pivotArea>
    </chartFormat>
    <chartFormat chart="20" format="51" series="1">
      <pivotArea type="data" outline="0" fieldPosition="0">
        <references count="2">
          <reference field="4294967294" count="1" selected="0">
            <x v="0"/>
          </reference>
          <reference field="3" count="1" selected="0">
            <x v="1"/>
          </reference>
        </references>
      </pivotArea>
    </chartFormat>
    <chartFormat chart="20" format="52" series="1">
      <pivotArea type="data" outline="0" fieldPosition="0">
        <references count="2">
          <reference field="4294967294" count="1" selected="0">
            <x v="0"/>
          </reference>
          <reference field="3" count="1" selected="0">
            <x v="5"/>
          </reference>
        </references>
      </pivotArea>
    </chartFormat>
    <chartFormat chart="20" format="53" series="1">
      <pivotArea type="data" outline="0" fieldPosition="0">
        <references count="2">
          <reference field="4294967294" count="1" selected="0">
            <x v="0"/>
          </reference>
          <reference field="3" count="1" selected="0">
            <x v="7"/>
          </reference>
        </references>
      </pivotArea>
    </chartFormat>
    <chartFormat chart="20" format="54" series="1">
      <pivotArea type="data" outline="0" fieldPosition="0">
        <references count="2">
          <reference field="4294967294" count="1" selected="0">
            <x v="0"/>
          </reference>
          <reference field="3" count="1" selected="0">
            <x v="8"/>
          </reference>
        </references>
      </pivotArea>
    </chartFormat>
    <chartFormat chart="20" format="55" series="1">
      <pivotArea type="data" outline="0" fieldPosition="0">
        <references count="2">
          <reference field="4294967294" count="1" selected="0">
            <x v="0"/>
          </reference>
          <reference field="3" count="1" selected="0">
            <x v="10"/>
          </reference>
        </references>
      </pivotArea>
    </chartFormat>
    <chartFormat chart="20" format="56" series="1">
      <pivotArea type="data" outline="0" fieldPosition="0">
        <references count="2">
          <reference field="4294967294" count="1" selected="0">
            <x v="0"/>
          </reference>
          <reference field="3" count="1" selected="0">
            <x v="11"/>
          </reference>
        </references>
      </pivotArea>
    </chartFormat>
    <chartFormat chart="20" format="57" series="1">
      <pivotArea type="data" outline="0" fieldPosition="0">
        <references count="2">
          <reference field="4294967294" count="1" selected="0">
            <x v="0"/>
          </reference>
          <reference field="3" count="1" selected="0">
            <x v="16"/>
          </reference>
        </references>
      </pivotArea>
    </chartFormat>
    <chartFormat chart="20" format="58" series="1">
      <pivotArea type="data" outline="0" fieldPosition="0">
        <references count="2">
          <reference field="4294967294" count="1" selected="0">
            <x v="0"/>
          </reference>
          <reference field="3" count="1" selected="0">
            <x v="18"/>
          </reference>
        </references>
      </pivotArea>
    </chartFormat>
    <chartFormat chart="20" format="59" series="1">
      <pivotArea type="data" outline="0" fieldPosition="0">
        <references count="2">
          <reference field="4294967294" count="1" selected="0">
            <x v="0"/>
          </reference>
          <reference field="3" count="1" selected="0">
            <x v="19"/>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F11812-5519-4912-BFEF-75E7608629BF}" name="PivotTable15"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K9:DL11" firstHeaderRow="1" firstDataRow="1" firstDataCol="1"/>
  <pivotFields count="14">
    <pivotField showAll="0"/>
    <pivotField showAll="0"/>
    <pivotField showAll="0"/>
    <pivotField axis="axisRow" showAll="0" measureFilter="1">
      <items count="23">
        <item x="8"/>
        <item x="0"/>
        <item x="17"/>
        <item x="15"/>
        <item x="7"/>
        <item x="2"/>
        <item x="21"/>
        <item x="19"/>
        <item x="1"/>
        <item x="3"/>
        <item x="9"/>
        <item x="14"/>
        <item x="12"/>
        <item x="11"/>
        <item x="10"/>
        <item x="13"/>
        <item x="18"/>
        <item x="5"/>
        <item x="16"/>
        <item x="6"/>
        <item x="20"/>
        <item x="4"/>
        <item t="default"/>
      </items>
    </pivotField>
    <pivotField showAll="0"/>
    <pivotField showAll="0"/>
    <pivotField numFmtId="14" showAll="0"/>
    <pivotField dataField="1" showAll="0"/>
    <pivotField showAll="0"/>
    <pivotField showAll="0"/>
    <pivotField showAll="0"/>
    <pivotField showAll="0"/>
    <pivotField showAll="0"/>
    <pivotField showAll="0"/>
  </pivotFields>
  <rowFields count="1">
    <field x="3"/>
  </rowFields>
  <rowItems count="2">
    <i>
      <x v="20"/>
    </i>
    <i t="grand">
      <x/>
    </i>
  </rowItems>
  <colItems count="1">
    <i/>
  </colItems>
  <dataFields count="1">
    <dataField name="Sum of Total sales" fld="7" baseField="0" baseItem="0"/>
  </dataFields>
  <pivotTableStyleInfo name="PivotStyleLight16" showRowHeaders="1" showColHeaders="1" showRowStripes="0" showColStripes="0" showLastColumn="1"/>
  <filters count="1">
    <filter fld="3" type="count" evalOrder="-1" id="1"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9127ED-8D15-48BF-B35A-BC3302A48FF3}" name="PivotTable6" cacheId="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5:U6" firstHeaderRow="1" firstDataRow="1" firstDataCol="0"/>
  <pivotFields count="1">
    <pivotField dataField="1" subtotalTop="0" showAll="0" defaultSubtotal="0"/>
  </pivotFields>
  <rowItems count="1">
    <i/>
  </rowItems>
  <colItems count="1">
    <i/>
  </colItems>
  <dataFields count="1">
    <dataField name="No.Product" fld="0" subtotal="count" baseField="0" baseItem="0">
      <extLst>
        <ext xmlns:x15="http://schemas.microsoft.com/office/spreadsheetml/2010/11/main" uri="{FABC7310-3BB5-11E1-824E-6D434824019B}">
          <x15:dataField isCountDistinct="1"/>
        </ext>
      </extLst>
    </dataField>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No.Produc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_task(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7E24A0-E4B5-4C92-9713-118E1A019889}" name="PivotTable10"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3">
  <location ref="AP3:AQ14" firstHeaderRow="1" firstDataRow="1" firstDataCol="1"/>
  <pivotFields count="14">
    <pivotField showAll="0"/>
    <pivotField showAll="0"/>
    <pivotField showAll="0"/>
    <pivotField axis="axisRow" showAll="0" measureFilter="1" sortType="ascending">
      <items count="23">
        <item x="4"/>
        <item x="20"/>
        <item x="6"/>
        <item x="16"/>
        <item x="5"/>
        <item x="18"/>
        <item x="13"/>
        <item x="10"/>
        <item x="11"/>
        <item x="12"/>
        <item x="14"/>
        <item x="9"/>
        <item x="3"/>
        <item x="1"/>
        <item x="19"/>
        <item x="21"/>
        <item x="2"/>
        <item x="7"/>
        <item x="15"/>
        <item x="17"/>
        <item x="0"/>
        <item x="8"/>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dataField="1" showAll="0"/>
    <pivotField showAll="0"/>
    <pivotField showAll="0"/>
    <pivotField showAll="0"/>
    <pivotField showAll="0"/>
    <pivotField showAll="0"/>
    <pivotField showAll="0"/>
  </pivotFields>
  <rowFields count="1">
    <field x="3"/>
  </rowFields>
  <rowItems count="11">
    <i>
      <x v="1"/>
    </i>
    <i>
      <x v="19"/>
    </i>
    <i>
      <x v="7"/>
    </i>
    <i>
      <x v="16"/>
    </i>
    <i>
      <x/>
    </i>
    <i>
      <x v="18"/>
    </i>
    <i>
      <x v="8"/>
    </i>
    <i>
      <x v="12"/>
    </i>
    <i>
      <x v="10"/>
    </i>
    <i>
      <x v="21"/>
    </i>
    <i t="grand">
      <x/>
    </i>
  </rowItems>
  <colItems count="1">
    <i/>
  </colItems>
  <dataFields count="1">
    <dataField name="Sum of Total sales" fld="7" baseField="3" baseItem="0" numFmtId="3"/>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B1E72F-84F2-4F19-8858-72955837EFBC}" name="PivotTable3"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G4:AH15" firstHeaderRow="1" firstDataRow="1" firstDataCol="1"/>
  <pivotFields count="2">
    <pivotField axis="axisRow" allDrilled="1" subtotalTop="0" showAll="0"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1"/>
    </i>
    <i>
      <x v="8"/>
    </i>
    <i>
      <x v="4"/>
    </i>
    <i>
      <x v="2"/>
    </i>
    <i>
      <x v="6"/>
    </i>
    <i>
      <x v="3"/>
    </i>
    <i>
      <x v="5"/>
    </i>
    <i>
      <x v="7"/>
    </i>
    <i>
      <x v="9"/>
    </i>
    <i t="grand">
      <x/>
    </i>
  </rowItems>
  <colItems count="1">
    <i/>
  </colItems>
  <dataFields count="1">
    <dataField name="Sum of Total sales" fld="1" showDataAs="percentOfCol" baseField="0" baseItem="0" numFmtId="10"/>
  </dataFields>
  <chartFormats count="4">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_task(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29B3D8-CD3D-44E3-8F78-C2524FECDFCD}" name="PivotTable1"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4" firstHeaderRow="1" firstDataRow="1" firstDataCol="1"/>
  <pivotFields count="2">
    <pivotField axis="axisRow" allDrilled="1" subtotalTop="0" showAll="0"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i>
    <i>
      <x v="8"/>
    </i>
    <i>
      <x v="4"/>
    </i>
    <i>
      <x v="7"/>
    </i>
    <i>
      <x v="1"/>
    </i>
    <i>
      <x v="6"/>
    </i>
    <i>
      <x v="5"/>
    </i>
    <i>
      <x v="9"/>
    </i>
    <i>
      <x v="2"/>
    </i>
    <i t="grand">
      <x/>
    </i>
  </rowItems>
  <colItems count="1">
    <i/>
  </colItems>
  <dataFields count="1">
    <dataField name="Sum of Units" fld="1"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_task(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B089FD8-1CD6-4877-A7D7-65AA12424C3C}" name="PivotTable14"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0">
  <location ref="CO6:DA18" firstHeaderRow="1" firstDataRow="2" firstDataCol="1"/>
  <pivotFields count="14">
    <pivotField showAll="0"/>
    <pivotField showAll="0"/>
    <pivotField showAll="0"/>
    <pivotField axis="axisRow" showAll="0" measureFilter="1" sortType="ascending">
      <items count="23">
        <item x="8"/>
        <item x="0"/>
        <item x="17"/>
        <item x="15"/>
        <item x="7"/>
        <item x="2"/>
        <item x="21"/>
        <item x="19"/>
        <item x="1"/>
        <item x="3"/>
        <item x="9"/>
        <item x="14"/>
        <item x="12"/>
        <item x="11"/>
        <item x="10"/>
        <item x="13"/>
        <item x="18"/>
        <item x="5"/>
        <item x="16"/>
        <item x="6"/>
        <item x="20"/>
        <item x="4"/>
        <item t="default"/>
      </items>
      <autoSortScope>
        <pivotArea dataOnly="0" outline="0" fieldPosition="0">
          <references count="2">
            <reference field="4294967294" count="1" selected="0">
              <x v="0"/>
            </reference>
            <reference field="11" count="1" selected="0">
              <x v="7"/>
            </reference>
          </references>
        </pivotArea>
      </autoSortScope>
    </pivotField>
    <pivotField showAll="0"/>
    <pivotField showAll="0"/>
    <pivotField numFmtId="14" showAll="0"/>
    <pivotField showAll="0"/>
    <pivotField showAll="0"/>
    <pivotField showAll="0"/>
    <pivotField dataField="1" showAll="0">
      <items count="12">
        <item x="0"/>
        <item x="1"/>
        <item x="2"/>
        <item x="3"/>
        <item x="4"/>
        <item x="5"/>
        <item x="6"/>
        <item x="7"/>
        <item x="8"/>
        <item x="9"/>
        <item x="10"/>
        <item t="default"/>
      </items>
    </pivotField>
    <pivotField axis="axisCol" showAll="0">
      <items count="12">
        <item x="0"/>
        <item x="1"/>
        <item x="2"/>
        <item x="3"/>
        <item x="4"/>
        <item x="5"/>
        <item x="6"/>
        <item x="7"/>
        <item x="8"/>
        <item x="9"/>
        <item x="10"/>
        <item t="default"/>
      </items>
    </pivotField>
    <pivotField showAll="0"/>
    <pivotField showAll="0"/>
  </pivotFields>
  <rowFields count="1">
    <field x="3"/>
  </rowFields>
  <rowItems count="11">
    <i>
      <x v="17"/>
    </i>
    <i>
      <x/>
    </i>
    <i>
      <x v="13"/>
    </i>
    <i>
      <x v="3"/>
    </i>
    <i>
      <x v="14"/>
    </i>
    <i>
      <x v="20"/>
    </i>
    <i>
      <x v="15"/>
    </i>
    <i>
      <x v="8"/>
    </i>
    <i>
      <x v="2"/>
    </i>
    <i>
      <x v="9"/>
    </i>
    <i t="grand">
      <x/>
    </i>
  </rowItems>
  <colFields count="1">
    <field x="11"/>
  </colFields>
  <colItems count="12">
    <i>
      <x/>
    </i>
    <i>
      <x v="1"/>
    </i>
    <i>
      <x v="2"/>
    </i>
    <i>
      <x v="3"/>
    </i>
    <i>
      <x v="4"/>
    </i>
    <i>
      <x v="5"/>
    </i>
    <i>
      <x v="6"/>
    </i>
    <i>
      <x v="7"/>
    </i>
    <i>
      <x v="8"/>
    </i>
    <i>
      <x v="9"/>
    </i>
    <i>
      <x v="10"/>
    </i>
    <i t="grand">
      <x/>
    </i>
  </colItems>
  <dataFields count="1">
    <dataField name="Sum of month" fld="10" baseField="0" baseItem="0"/>
  </dataFields>
  <chartFormats count="4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0" format="6" series="1">
      <pivotArea type="data" outline="0" fieldPosition="0">
        <references count="2">
          <reference field="4294967294" count="1" selected="0">
            <x v="0"/>
          </reference>
          <reference field="11" count="1" selected="0">
            <x v="6"/>
          </reference>
        </references>
      </pivotArea>
    </chartFormat>
    <chartFormat chart="0" format="7" series="1">
      <pivotArea type="data" outline="0" fieldPosition="0">
        <references count="2">
          <reference field="4294967294" count="1" selected="0">
            <x v="0"/>
          </reference>
          <reference field="11" count="1" selected="0">
            <x v="7"/>
          </reference>
        </references>
      </pivotArea>
    </chartFormat>
    <chartFormat chart="0" format="8" series="1">
      <pivotArea type="data" outline="0" fieldPosition="0">
        <references count="2">
          <reference field="4294967294" count="1" selected="0">
            <x v="0"/>
          </reference>
          <reference field="11" count="1" selected="0">
            <x v="8"/>
          </reference>
        </references>
      </pivotArea>
    </chartFormat>
    <chartFormat chart="0" format="9" series="1">
      <pivotArea type="data" outline="0" fieldPosition="0">
        <references count="2">
          <reference field="4294967294" count="1" selected="0">
            <x v="0"/>
          </reference>
          <reference field="11" count="1" selected="0">
            <x v="9"/>
          </reference>
        </references>
      </pivotArea>
    </chartFormat>
    <chartFormat chart="0" format="10" series="1">
      <pivotArea type="data" outline="0" fieldPosition="0">
        <references count="2">
          <reference field="4294967294" count="1" selected="0">
            <x v="0"/>
          </reference>
          <reference field="11" count="1" selected="0">
            <x v="10"/>
          </reference>
        </references>
      </pivotArea>
    </chartFormat>
    <chartFormat chart="2" format="0" series="1">
      <pivotArea type="data" outline="0" fieldPosition="0">
        <references count="2">
          <reference field="4294967294" count="1" selected="0">
            <x v="0"/>
          </reference>
          <reference field="11" count="1" selected="0">
            <x v="0"/>
          </reference>
        </references>
      </pivotArea>
    </chartFormat>
    <chartFormat chart="2" format="1" series="1">
      <pivotArea type="data" outline="0" fieldPosition="0">
        <references count="2">
          <reference field="4294967294" count="1" selected="0">
            <x v="0"/>
          </reference>
          <reference field="11" count="1" selected="0">
            <x v="1"/>
          </reference>
        </references>
      </pivotArea>
    </chartFormat>
    <chartFormat chart="2" format="2" series="1">
      <pivotArea type="data" outline="0" fieldPosition="0">
        <references count="2">
          <reference field="4294967294" count="1" selected="0">
            <x v="0"/>
          </reference>
          <reference field="11" count="1" selected="0">
            <x v="2"/>
          </reference>
        </references>
      </pivotArea>
    </chartFormat>
    <chartFormat chart="2" format="3" series="1">
      <pivotArea type="data" outline="0" fieldPosition="0">
        <references count="2">
          <reference field="4294967294" count="1" selected="0">
            <x v="0"/>
          </reference>
          <reference field="11" count="1" selected="0">
            <x v="3"/>
          </reference>
        </references>
      </pivotArea>
    </chartFormat>
    <chartFormat chart="2" format="4" series="1">
      <pivotArea type="data" outline="0" fieldPosition="0">
        <references count="2">
          <reference field="4294967294" count="1" selected="0">
            <x v="0"/>
          </reference>
          <reference field="11" count="1" selected="0">
            <x v="4"/>
          </reference>
        </references>
      </pivotArea>
    </chartFormat>
    <chartFormat chart="2" format="5" series="1">
      <pivotArea type="data" outline="0" fieldPosition="0">
        <references count="2">
          <reference field="4294967294" count="1" selected="0">
            <x v="0"/>
          </reference>
          <reference field="11" count="1" selected="0">
            <x v="5"/>
          </reference>
        </references>
      </pivotArea>
    </chartFormat>
    <chartFormat chart="2" format="6" series="1">
      <pivotArea type="data" outline="0" fieldPosition="0">
        <references count="2">
          <reference field="4294967294" count="1" selected="0">
            <x v="0"/>
          </reference>
          <reference field="11" count="1" selected="0">
            <x v="6"/>
          </reference>
        </references>
      </pivotArea>
    </chartFormat>
    <chartFormat chart="2" format="7" series="1">
      <pivotArea type="data" outline="0" fieldPosition="0">
        <references count="2">
          <reference field="4294967294" count="1" selected="0">
            <x v="0"/>
          </reference>
          <reference field="11" count="1" selected="0">
            <x v="7"/>
          </reference>
        </references>
      </pivotArea>
    </chartFormat>
    <chartFormat chart="2" format="8" series="1">
      <pivotArea type="data" outline="0" fieldPosition="0">
        <references count="2">
          <reference field="4294967294" count="1" selected="0">
            <x v="0"/>
          </reference>
          <reference field="11" count="1" selected="0">
            <x v="8"/>
          </reference>
        </references>
      </pivotArea>
    </chartFormat>
    <chartFormat chart="2" format="9" series="1">
      <pivotArea type="data" outline="0" fieldPosition="0">
        <references count="2">
          <reference field="4294967294" count="1" selected="0">
            <x v="0"/>
          </reference>
          <reference field="11" count="1" selected="0">
            <x v="9"/>
          </reference>
        </references>
      </pivotArea>
    </chartFormat>
    <chartFormat chart="2" format="10" series="1">
      <pivotArea type="data" outline="0" fieldPosition="0">
        <references count="2">
          <reference field="4294967294" count="1" selected="0">
            <x v="0"/>
          </reference>
          <reference field="11" count="1" selected="0">
            <x v="10"/>
          </reference>
        </references>
      </pivotArea>
    </chartFormat>
    <chartFormat chart="6" format="22" series="1">
      <pivotArea type="data" outline="0" fieldPosition="0">
        <references count="2">
          <reference field="4294967294" count="1" selected="0">
            <x v="0"/>
          </reference>
          <reference field="11" count="1" selected="0">
            <x v="0"/>
          </reference>
        </references>
      </pivotArea>
    </chartFormat>
    <chartFormat chart="6" format="23" series="1">
      <pivotArea type="data" outline="0" fieldPosition="0">
        <references count="2">
          <reference field="4294967294" count="1" selected="0">
            <x v="0"/>
          </reference>
          <reference field="11" count="1" selected="0">
            <x v="1"/>
          </reference>
        </references>
      </pivotArea>
    </chartFormat>
    <chartFormat chart="6" format="24" series="1">
      <pivotArea type="data" outline="0" fieldPosition="0">
        <references count="2">
          <reference field="4294967294" count="1" selected="0">
            <x v="0"/>
          </reference>
          <reference field="11" count="1" selected="0">
            <x v="2"/>
          </reference>
        </references>
      </pivotArea>
    </chartFormat>
    <chartFormat chart="6" format="25" series="1">
      <pivotArea type="data" outline="0" fieldPosition="0">
        <references count="2">
          <reference field="4294967294" count="1" selected="0">
            <x v="0"/>
          </reference>
          <reference field="11" count="1" selected="0">
            <x v="3"/>
          </reference>
        </references>
      </pivotArea>
    </chartFormat>
    <chartFormat chart="6" format="26" series="1">
      <pivotArea type="data" outline="0" fieldPosition="0">
        <references count="2">
          <reference field="4294967294" count="1" selected="0">
            <x v="0"/>
          </reference>
          <reference field="11" count="1" selected="0">
            <x v="4"/>
          </reference>
        </references>
      </pivotArea>
    </chartFormat>
    <chartFormat chart="6" format="27" series="1">
      <pivotArea type="data" outline="0" fieldPosition="0">
        <references count="2">
          <reference field="4294967294" count="1" selected="0">
            <x v="0"/>
          </reference>
          <reference field="11" count="1" selected="0">
            <x v="5"/>
          </reference>
        </references>
      </pivotArea>
    </chartFormat>
    <chartFormat chart="6" format="28" series="1">
      <pivotArea type="data" outline="0" fieldPosition="0">
        <references count="2">
          <reference field="4294967294" count="1" selected="0">
            <x v="0"/>
          </reference>
          <reference field="11" count="1" selected="0">
            <x v="6"/>
          </reference>
        </references>
      </pivotArea>
    </chartFormat>
    <chartFormat chart="6" format="29" series="1">
      <pivotArea type="data" outline="0" fieldPosition="0">
        <references count="2">
          <reference field="4294967294" count="1" selected="0">
            <x v="0"/>
          </reference>
          <reference field="11" count="1" selected="0">
            <x v="7"/>
          </reference>
        </references>
      </pivotArea>
    </chartFormat>
    <chartFormat chart="6" format="30" series="1">
      <pivotArea type="data" outline="0" fieldPosition="0">
        <references count="2">
          <reference field="4294967294" count="1" selected="0">
            <x v="0"/>
          </reference>
          <reference field="11" count="1" selected="0">
            <x v="8"/>
          </reference>
        </references>
      </pivotArea>
    </chartFormat>
    <chartFormat chart="6" format="31" series="1">
      <pivotArea type="data" outline="0" fieldPosition="0">
        <references count="2">
          <reference field="4294967294" count="1" selected="0">
            <x v="0"/>
          </reference>
          <reference field="11" count="1" selected="0">
            <x v="9"/>
          </reference>
        </references>
      </pivotArea>
    </chartFormat>
    <chartFormat chart="6" format="32" series="1">
      <pivotArea type="data" outline="0" fieldPosition="0">
        <references count="2">
          <reference field="4294967294" count="1" selected="0">
            <x v="0"/>
          </reference>
          <reference field="11" count="1" selected="0">
            <x v="10"/>
          </reference>
        </references>
      </pivotArea>
    </chartFormat>
    <chartFormat chart="19" format="44" series="1">
      <pivotArea type="data" outline="0" fieldPosition="0">
        <references count="2">
          <reference field="4294967294" count="1" selected="0">
            <x v="0"/>
          </reference>
          <reference field="11" count="1" selected="0">
            <x v="0"/>
          </reference>
        </references>
      </pivotArea>
    </chartFormat>
    <chartFormat chart="19" format="45" series="1">
      <pivotArea type="data" outline="0" fieldPosition="0">
        <references count="2">
          <reference field="4294967294" count="1" selected="0">
            <x v="0"/>
          </reference>
          <reference field="11" count="1" selected="0">
            <x v="1"/>
          </reference>
        </references>
      </pivotArea>
    </chartFormat>
    <chartFormat chart="19" format="46" series="1">
      <pivotArea type="data" outline="0" fieldPosition="0">
        <references count="2">
          <reference field="4294967294" count="1" selected="0">
            <x v="0"/>
          </reference>
          <reference field="11" count="1" selected="0">
            <x v="2"/>
          </reference>
        </references>
      </pivotArea>
    </chartFormat>
    <chartFormat chart="19" format="47" series="1">
      <pivotArea type="data" outline="0" fieldPosition="0">
        <references count="2">
          <reference field="4294967294" count="1" selected="0">
            <x v="0"/>
          </reference>
          <reference field="11" count="1" selected="0">
            <x v="3"/>
          </reference>
        </references>
      </pivotArea>
    </chartFormat>
    <chartFormat chart="19" format="48" series="1">
      <pivotArea type="data" outline="0" fieldPosition="0">
        <references count="2">
          <reference field="4294967294" count="1" selected="0">
            <x v="0"/>
          </reference>
          <reference field="11" count="1" selected="0">
            <x v="4"/>
          </reference>
        </references>
      </pivotArea>
    </chartFormat>
    <chartFormat chart="19" format="49" series="1">
      <pivotArea type="data" outline="0" fieldPosition="0">
        <references count="2">
          <reference field="4294967294" count="1" selected="0">
            <x v="0"/>
          </reference>
          <reference field="11" count="1" selected="0">
            <x v="5"/>
          </reference>
        </references>
      </pivotArea>
    </chartFormat>
    <chartFormat chart="19" format="50" series="1">
      <pivotArea type="data" outline="0" fieldPosition="0">
        <references count="2">
          <reference field="4294967294" count="1" selected="0">
            <x v="0"/>
          </reference>
          <reference field="11" count="1" selected="0">
            <x v="6"/>
          </reference>
        </references>
      </pivotArea>
    </chartFormat>
    <chartFormat chart="19" format="51" series="1">
      <pivotArea type="data" outline="0" fieldPosition="0">
        <references count="2">
          <reference field="4294967294" count="1" selected="0">
            <x v="0"/>
          </reference>
          <reference field="11" count="1" selected="0">
            <x v="7"/>
          </reference>
        </references>
      </pivotArea>
    </chartFormat>
    <chartFormat chart="19" format="52" series="1">
      <pivotArea type="data" outline="0" fieldPosition="0">
        <references count="2">
          <reference field="4294967294" count="1" selected="0">
            <x v="0"/>
          </reference>
          <reference field="11" count="1" selected="0">
            <x v="8"/>
          </reference>
        </references>
      </pivotArea>
    </chartFormat>
    <chartFormat chart="19" format="53" series="1">
      <pivotArea type="data" outline="0" fieldPosition="0">
        <references count="2">
          <reference field="4294967294" count="1" selected="0">
            <x v="0"/>
          </reference>
          <reference field="11" count="1" selected="0">
            <x v="9"/>
          </reference>
        </references>
      </pivotArea>
    </chartFormat>
    <chartFormat chart="19" format="54" series="1">
      <pivotArea type="data" outline="0" fieldPosition="0">
        <references count="2">
          <reference field="4294967294" count="1" selected="0">
            <x v="0"/>
          </reference>
          <reference field="11" count="1" selected="0">
            <x v="1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45925CF-9D23-44BE-B892-1ADE70882F78}" name="PivotTable9" cacheId="1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9:U10" firstHeaderRow="1" firstDataRow="1" firstDataCol="0"/>
  <pivotFields count="1">
    <pivotField dataField="1" subtotalTop="0" showAll="0" defaultSubtotal="0"/>
  </pivotFields>
  <rowItems count="1">
    <i/>
  </rowItems>
  <colItems count="1">
    <i/>
  </colItems>
  <dataFields count="1">
    <dataField name="Total sales" fld="0" baseField="0" baseItem="0" numFmtId="3"/>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_task(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C529583-0BEE-481E-817A-53E8549831C5}" name="PivotTable5" cacheId="1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2:U3" firstHeaderRow="1" firstDataRow="1" firstDataCol="0"/>
  <pivotFields count="1">
    <pivotField dataField="1" subtotalTop="0" showAll="0" defaultSubtotal="0"/>
  </pivotFields>
  <rowItems count="1">
    <i/>
  </rowItems>
  <colItems count="1">
    <i/>
  </colItems>
  <dataFields count="1">
    <dataField name="No. Sales Person" fld="0" subtotal="count" baseField="0" baseItem="0">
      <extLst>
        <ext xmlns:x15="http://schemas.microsoft.com/office/spreadsheetml/2010/11/main" uri="{FABC7310-3BB5-11E1-824E-6D434824019B}">
          <x15:dataField isCountDistinct="1"/>
        </ext>
      </extLst>
    </dataField>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No. Sales Person"/>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_task(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41267C9-094F-4008-A753-E61076FE7633}" name="PivotTable13"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8">
  <location ref="BZ15:CK27" firstHeaderRow="1" firstDataRow="2" firstDataCol="1"/>
  <pivotFields count="14">
    <pivotField showAll="0"/>
    <pivotField axis="axisRow" showAll="0" sortType="descending">
      <items count="11">
        <item x="9"/>
        <item x="1"/>
        <item x="4"/>
        <item x="6"/>
        <item x="2"/>
        <item x="7"/>
        <item x="8"/>
        <item x="0"/>
        <item x="3"/>
        <item x="5"/>
        <item t="default"/>
      </items>
      <autoSortScope>
        <pivotArea dataOnly="0" outline="0" fieldPosition="0">
          <references count="2">
            <reference field="4294967294" count="1" selected="0">
              <x v="0"/>
            </reference>
            <reference field="3" count="1" selected="0">
              <x v="21"/>
            </reference>
          </references>
        </pivotArea>
      </autoSortScope>
    </pivotField>
    <pivotField showAll="0"/>
    <pivotField axis="axisCol" showAll="0" measureFilter="1">
      <items count="23">
        <item x="8"/>
        <item x="0"/>
        <item x="17"/>
        <item x="15"/>
        <item x="7"/>
        <item x="2"/>
        <item x="21"/>
        <item x="19"/>
        <item x="1"/>
        <item x="3"/>
        <item x="9"/>
        <item x="14"/>
        <item x="12"/>
        <item x="11"/>
        <item x="10"/>
        <item x="13"/>
        <item x="18"/>
        <item x="5"/>
        <item x="16"/>
        <item x="6"/>
        <item x="20"/>
        <item x="4"/>
        <item t="default"/>
      </items>
    </pivotField>
    <pivotField showAll="0"/>
    <pivotField showAll="0"/>
    <pivotField numFmtId="14" showAll="0"/>
    <pivotField dataField="1" showAll="0"/>
    <pivotField showAll="0"/>
    <pivotField showAll="0"/>
    <pivotField showAll="0"/>
    <pivotField showAll="0"/>
    <pivotField showAll="0"/>
    <pivotField showAll="0"/>
  </pivotFields>
  <rowFields count="1">
    <field x="1"/>
  </rowFields>
  <rowItems count="11">
    <i>
      <x v="4"/>
    </i>
    <i>
      <x v="3"/>
    </i>
    <i>
      <x v="6"/>
    </i>
    <i>
      <x v="2"/>
    </i>
    <i>
      <x v="5"/>
    </i>
    <i>
      <x v="7"/>
    </i>
    <i>
      <x v="9"/>
    </i>
    <i>
      <x/>
    </i>
    <i>
      <x v="8"/>
    </i>
    <i>
      <x v="1"/>
    </i>
    <i t="grand">
      <x/>
    </i>
  </rowItems>
  <colFields count="1">
    <field x="3"/>
  </colFields>
  <colItems count="11">
    <i>
      <x/>
    </i>
    <i>
      <x v="2"/>
    </i>
    <i>
      <x v="3"/>
    </i>
    <i>
      <x v="5"/>
    </i>
    <i>
      <x v="9"/>
    </i>
    <i>
      <x v="11"/>
    </i>
    <i>
      <x v="13"/>
    </i>
    <i>
      <x v="14"/>
    </i>
    <i>
      <x v="20"/>
    </i>
    <i>
      <x v="21"/>
    </i>
    <i t="grand">
      <x/>
    </i>
  </colItems>
  <dataFields count="1">
    <dataField name="Sum of Total sales" fld="7" baseField="1" baseItem="0" numFmtId="3"/>
  </dataFields>
  <chartFormats count="3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2"/>
          </reference>
        </references>
      </pivotArea>
    </chartFormat>
    <chartFormat chart="0" format="2" series="1">
      <pivotArea type="data" outline="0" fieldPosition="0">
        <references count="2">
          <reference field="4294967294" count="1" selected="0">
            <x v="0"/>
          </reference>
          <reference field="3" count="1" selected="0">
            <x v="3"/>
          </reference>
        </references>
      </pivotArea>
    </chartFormat>
    <chartFormat chart="0" format="3" series="1">
      <pivotArea type="data" outline="0" fieldPosition="0">
        <references count="2">
          <reference field="4294967294" count="1" selected="0">
            <x v="0"/>
          </reference>
          <reference field="3" count="1" selected="0">
            <x v="5"/>
          </reference>
        </references>
      </pivotArea>
    </chartFormat>
    <chartFormat chart="0" format="4" series="1">
      <pivotArea type="data" outline="0" fieldPosition="0">
        <references count="2">
          <reference field="4294967294" count="1" selected="0">
            <x v="0"/>
          </reference>
          <reference field="3" count="1" selected="0">
            <x v="9"/>
          </reference>
        </references>
      </pivotArea>
    </chartFormat>
    <chartFormat chart="0" format="5" series="1">
      <pivotArea type="data" outline="0" fieldPosition="0">
        <references count="2">
          <reference field="4294967294" count="1" selected="0">
            <x v="0"/>
          </reference>
          <reference field="3" count="1" selected="0">
            <x v="11"/>
          </reference>
        </references>
      </pivotArea>
    </chartFormat>
    <chartFormat chart="0" format="6" series="1">
      <pivotArea type="data" outline="0" fieldPosition="0">
        <references count="2">
          <reference field="4294967294" count="1" selected="0">
            <x v="0"/>
          </reference>
          <reference field="3" count="1" selected="0">
            <x v="13"/>
          </reference>
        </references>
      </pivotArea>
    </chartFormat>
    <chartFormat chart="0" format="7" series="1">
      <pivotArea type="data" outline="0" fieldPosition="0">
        <references count="2">
          <reference field="4294967294" count="1" selected="0">
            <x v="0"/>
          </reference>
          <reference field="3" count="1" selected="0">
            <x v="14"/>
          </reference>
        </references>
      </pivotArea>
    </chartFormat>
    <chartFormat chart="0" format="8" series="1">
      <pivotArea type="data" outline="0" fieldPosition="0">
        <references count="2">
          <reference field="4294967294" count="1" selected="0">
            <x v="0"/>
          </reference>
          <reference field="3" count="1" selected="0">
            <x v="20"/>
          </reference>
        </references>
      </pivotArea>
    </chartFormat>
    <chartFormat chart="0" format="9" series="1">
      <pivotArea type="data" outline="0" fieldPosition="0">
        <references count="2">
          <reference field="4294967294" count="1" selected="0">
            <x v="0"/>
          </reference>
          <reference field="3" count="1" selected="0">
            <x v="21"/>
          </reference>
        </references>
      </pivotArea>
    </chartFormat>
    <chartFormat chart="4" format="20" series="1">
      <pivotArea type="data" outline="0" fieldPosition="0">
        <references count="2">
          <reference field="4294967294" count="1" selected="0">
            <x v="0"/>
          </reference>
          <reference field="3" count="1" selected="0">
            <x v="0"/>
          </reference>
        </references>
      </pivotArea>
    </chartFormat>
    <chartFormat chart="4" format="21" series="1">
      <pivotArea type="data" outline="0" fieldPosition="0">
        <references count="2">
          <reference field="4294967294" count="1" selected="0">
            <x v="0"/>
          </reference>
          <reference field="3" count="1" selected="0">
            <x v="2"/>
          </reference>
        </references>
      </pivotArea>
    </chartFormat>
    <chartFormat chart="4" format="22" series="1">
      <pivotArea type="data" outline="0" fieldPosition="0">
        <references count="2">
          <reference field="4294967294" count="1" selected="0">
            <x v="0"/>
          </reference>
          <reference field="3" count="1" selected="0">
            <x v="3"/>
          </reference>
        </references>
      </pivotArea>
    </chartFormat>
    <chartFormat chart="4" format="23" series="1">
      <pivotArea type="data" outline="0" fieldPosition="0">
        <references count="2">
          <reference field="4294967294" count="1" selected="0">
            <x v="0"/>
          </reference>
          <reference field="3" count="1" selected="0">
            <x v="5"/>
          </reference>
        </references>
      </pivotArea>
    </chartFormat>
    <chartFormat chart="4" format="24" series="1">
      <pivotArea type="data" outline="0" fieldPosition="0">
        <references count="2">
          <reference field="4294967294" count="1" selected="0">
            <x v="0"/>
          </reference>
          <reference field="3" count="1" selected="0">
            <x v="9"/>
          </reference>
        </references>
      </pivotArea>
    </chartFormat>
    <chartFormat chart="4" format="25" series="1">
      <pivotArea type="data" outline="0" fieldPosition="0">
        <references count="2">
          <reference field="4294967294" count="1" selected="0">
            <x v="0"/>
          </reference>
          <reference field="3" count="1" selected="0">
            <x v="11"/>
          </reference>
        </references>
      </pivotArea>
    </chartFormat>
    <chartFormat chart="4" format="26" series="1">
      <pivotArea type="data" outline="0" fieldPosition="0">
        <references count="2">
          <reference field="4294967294" count="1" selected="0">
            <x v="0"/>
          </reference>
          <reference field="3" count="1" selected="0">
            <x v="13"/>
          </reference>
        </references>
      </pivotArea>
    </chartFormat>
    <chartFormat chart="4" format="27" series="1">
      <pivotArea type="data" outline="0" fieldPosition="0">
        <references count="2">
          <reference field="4294967294" count="1" selected="0">
            <x v="0"/>
          </reference>
          <reference field="3" count="1" selected="0">
            <x v="14"/>
          </reference>
        </references>
      </pivotArea>
    </chartFormat>
    <chartFormat chart="4" format="28" series="1">
      <pivotArea type="data" outline="0" fieldPosition="0">
        <references count="2">
          <reference field="4294967294" count="1" selected="0">
            <x v="0"/>
          </reference>
          <reference field="3" count="1" selected="0">
            <x v="20"/>
          </reference>
        </references>
      </pivotArea>
    </chartFormat>
    <chartFormat chart="4" format="29" series="1">
      <pivotArea type="data" outline="0" fieldPosition="0">
        <references count="2">
          <reference field="4294967294" count="1" selected="0">
            <x v="0"/>
          </reference>
          <reference field="3" count="1" selected="0">
            <x v="21"/>
          </reference>
        </references>
      </pivotArea>
    </chartFormat>
    <chartFormat chart="14" format="40" series="1">
      <pivotArea type="data" outline="0" fieldPosition="0">
        <references count="2">
          <reference field="4294967294" count="1" selected="0">
            <x v="0"/>
          </reference>
          <reference field="3" count="1" selected="0">
            <x v="0"/>
          </reference>
        </references>
      </pivotArea>
    </chartFormat>
    <chartFormat chart="14" format="41" series="1">
      <pivotArea type="data" outline="0" fieldPosition="0">
        <references count="2">
          <reference field="4294967294" count="1" selected="0">
            <x v="0"/>
          </reference>
          <reference field="3" count="1" selected="0">
            <x v="2"/>
          </reference>
        </references>
      </pivotArea>
    </chartFormat>
    <chartFormat chart="14" format="42" series="1">
      <pivotArea type="data" outline="0" fieldPosition="0">
        <references count="2">
          <reference field="4294967294" count="1" selected="0">
            <x v="0"/>
          </reference>
          <reference field="3" count="1" selected="0">
            <x v="3"/>
          </reference>
        </references>
      </pivotArea>
    </chartFormat>
    <chartFormat chart="14" format="43" series="1">
      <pivotArea type="data" outline="0" fieldPosition="0">
        <references count="2">
          <reference field="4294967294" count="1" selected="0">
            <x v="0"/>
          </reference>
          <reference field="3" count="1" selected="0">
            <x v="5"/>
          </reference>
        </references>
      </pivotArea>
    </chartFormat>
    <chartFormat chart="14" format="44" series="1">
      <pivotArea type="data" outline="0" fieldPosition="0">
        <references count="2">
          <reference field="4294967294" count="1" selected="0">
            <x v="0"/>
          </reference>
          <reference field="3" count="1" selected="0">
            <x v="9"/>
          </reference>
        </references>
      </pivotArea>
    </chartFormat>
    <chartFormat chart="14" format="45" series="1">
      <pivotArea type="data" outline="0" fieldPosition="0">
        <references count="2">
          <reference field="4294967294" count="1" selected="0">
            <x v="0"/>
          </reference>
          <reference field="3" count="1" selected="0">
            <x v="11"/>
          </reference>
        </references>
      </pivotArea>
    </chartFormat>
    <chartFormat chart="14" format="46" series="1">
      <pivotArea type="data" outline="0" fieldPosition="0">
        <references count="2">
          <reference field="4294967294" count="1" selected="0">
            <x v="0"/>
          </reference>
          <reference field="3" count="1" selected="0">
            <x v="13"/>
          </reference>
        </references>
      </pivotArea>
    </chartFormat>
    <chartFormat chart="14" format="47" series="1">
      <pivotArea type="data" outline="0" fieldPosition="0">
        <references count="2">
          <reference field="4294967294" count="1" selected="0">
            <x v="0"/>
          </reference>
          <reference field="3" count="1" selected="0">
            <x v="14"/>
          </reference>
        </references>
      </pivotArea>
    </chartFormat>
    <chartFormat chart="14" format="48" series="1">
      <pivotArea type="data" outline="0" fieldPosition="0">
        <references count="2">
          <reference field="4294967294" count="1" selected="0">
            <x v="0"/>
          </reference>
          <reference field="3" count="1" selected="0">
            <x v="20"/>
          </reference>
        </references>
      </pivotArea>
    </chartFormat>
    <chartFormat chart="14" format="49" series="1">
      <pivotArea type="data" outline="0" fieldPosition="0">
        <references count="2">
          <reference field="4294967294" count="1" selected="0">
            <x v="0"/>
          </reference>
          <reference field="3" count="1" selected="0">
            <x v="2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EF48918-F8FE-4FC5-8AB4-437ADCB8B1CB}" name="PivotTable2" cacheId="1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location ref="H3:I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8"/>
    </i>
    <i>
      <x v="4"/>
    </i>
    <i>
      <x v="1"/>
    </i>
    <i>
      <x v="6"/>
    </i>
    <i>
      <x v="9"/>
    </i>
    <i>
      <x/>
    </i>
    <i>
      <x v="5"/>
    </i>
    <i>
      <x v="3"/>
    </i>
    <i>
      <x v="2"/>
    </i>
    <i t="grand">
      <x/>
    </i>
  </rowItems>
  <colItems count="1">
    <i/>
  </colItems>
  <dataFields count="1">
    <dataField name="Sum of Total sales" fld="1" baseField="0" baseItem="0" numFmtId="3"/>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_task(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70D910E-AC7C-4885-9BBE-F011A8BF4490}" name="PivotTable12"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K16:BV28" firstHeaderRow="1" firstDataRow="2" firstDataCol="1"/>
  <pivotFields count="14">
    <pivotField showAll="0"/>
    <pivotField axis="axisRow" showAll="0">
      <items count="11">
        <item x="9"/>
        <item x="1"/>
        <item x="4"/>
        <item x="6"/>
        <item x="2"/>
        <item x="7"/>
        <item x="8"/>
        <item x="0"/>
        <item x="3"/>
        <item x="5"/>
        <item t="default"/>
      </items>
    </pivotField>
    <pivotField showAll="0">
      <items count="7">
        <item x="0"/>
        <item x="1"/>
        <item x="4"/>
        <item x="2"/>
        <item x="3"/>
        <item x="5"/>
        <item t="default"/>
      </items>
    </pivotField>
    <pivotField axis="axisCol" showAll="0" measureFilter="1" sortType="descending">
      <items count="23">
        <item x="4"/>
        <item x="20"/>
        <item x="6"/>
        <item x="16"/>
        <item x="5"/>
        <item x="18"/>
        <item x="13"/>
        <item x="10"/>
        <item x="11"/>
        <item x="12"/>
        <item x="14"/>
        <item x="9"/>
        <item x="3"/>
        <item x="1"/>
        <item x="19"/>
        <item x="21"/>
        <item x="2"/>
        <item x="7"/>
        <item x="15"/>
        <item x="17"/>
        <item x="0"/>
        <item x="8"/>
        <item t="default"/>
      </items>
    </pivotField>
    <pivotField showAll="0"/>
    <pivotField dataField="1" showAll="0"/>
    <pivotField numFmtId="14"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Fields count="1">
    <field x="3"/>
  </colFields>
  <colItems count="11">
    <i>
      <x v="1"/>
    </i>
    <i>
      <x v="3"/>
    </i>
    <i>
      <x v="4"/>
    </i>
    <i>
      <x v="8"/>
    </i>
    <i>
      <x v="12"/>
    </i>
    <i>
      <x v="16"/>
    </i>
    <i>
      <x v="17"/>
    </i>
    <i>
      <x v="18"/>
    </i>
    <i>
      <x v="19"/>
    </i>
    <i>
      <x v="21"/>
    </i>
    <i t="grand">
      <x/>
    </i>
  </colItems>
  <dataFields count="1">
    <dataField name="Sum of Units" fld="5" baseField="0" baseItem="0"/>
  </dataFields>
  <chartFormats count="10">
    <chartFormat chart="0" format="0" series="1">
      <pivotArea type="data" outline="0" fieldPosition="0">
        <references count="2">
          <reference field="4294967294" count="1" selected="0">
            <x v="0"/>
          </reference>
          <reference field="3" count="1" selected="0">
            <x v="1"/>
          </reference>
        </references>
      </pivotArea>
    </chartFormat>
    <chartFormat chart="0" format="1" series="1">
      <pivotArea type="data" outline="0" fieldPosition="0">
        <references count="2">
          <reference field="4294967294" count="1" selected="0">
            <x v="0"/>
          </reference>
          <reference field="3" count="1" selected="0">
            <x v="3"/>
          </reference>
        </references>
      </pivotArea>
    </chartFormat>
    <chartFormat chart="0" format="2" series="1">
      <pivotArea type="data" outline="0" fieldPosition="0">
        <references count="2">
          <reference field="4294967294" count="1" selected="0">
            <x v="0"/>
          </reference>
          <reference field="3" count="1" selected="0">
            <x v="4"/>
          </reference>
        </references>
      </pivotArea>
    </chartFormat>
    <chartFormat chart="0" format="3" series="1">
      <pivotArea type="data" outline="0" fieldPosition="0">
        <references count="2">
          <reference field="4294967294" count="1" selected="0">
            <x v="0"/>
          </reference>
          <reference field="3" count="1" selected="0">
            <x v="8"/>
          </reference>
        </references>
      </pivotArea>
    </chartFormat>
    <chartFormat chart="0" format="4" series="1">
      <pivotArea type="data" outline="0" fieldPosition="0">
        <references count="2">
          <reference field="4294967294" count="1" selected="0">
            <x v="0"/>
          </reference>
          <reference field="3" count="1" selected="0">
            <x v="12"/>
          </reference>
        </references>
      </pivotArea>
    </chartFormat>
    <chartFormat chart="0" format="5" series="1">
      <pivotArea type="data" outline="0" fieldPosition="0">
        <references count="2">
          <reference field="4294967294" count="1" selected="0">
            <x v="0"/>
          </reference>
          <reference field="3" count="1" selected="0">
            <x v="16"/>
          </reference>
        </references>
      </pivotArea>
    </chartFormat>
    <chartFormat chart="0" format="6" series="1">
      <pivotArea type="data" outline="0" fieldPosition="0">
        <references count="2">
          <reference field="4294967294" count="1" selected="0">
            <x v="0"/>
          </reference>
          <reference field="3" count="1" selected="0">
            <x v="17"/>
          </reference>
        </references>
      </pivotArea>
    </chartFormat>
    <chartFormat chart="0" format="7" series="1">
      <pivotArea type="data" outline="0" fieldPosition="0">
        <references count="2">
          <reference field="4294967294" count="1" selected="0">
            <x v="0"/>
          </reference>
          <reference field="3" count="1" selected="0">
            <x v="18"/>
          </reference>
        </references>
      </pivotArea>
    </chartFormat>
    <chartFormat chart="0" format="8" series="1">
      <pivotArea type="data" outline="0" fieldPosition="0">
        <references count="2">
          <reference field="4294967294" count="1" selected="0">
            <x v="0"/>
          </reference>
          <reference field="3" count="1" selected="0">
            <x v="19"/>
          </reference>
        </references>
      </pivotArea>
    </chartFormat>
    <chartFormat chart="0" format="9" series="1">
      <pivotArea type="data" outline="0" fieldPosition="0">
        <references count="2">
          <reference field="4294967294" count="1" selected="0">
            <x v="0"/>
          </reference>
          <reference field="3" count="1" selected="0">
            <x v="2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8FB0079-5549-42F5-AB0A-D1FA2B2A9FEE}" sourceName="[Table1].[Product]">
  <pivotTables>
    <pivotTable tabId="7" name="PivotTable4"/>
  </pivotTables>
  <data>
    <olap pivotCacheId="1956905853">
      <levels count="2">
        <level uniqueName="[Table1].[Product].[(All)]" sourceCaption="(All)" count="0"/>
        <level uniqueName="[Table1].[Product].[Product]" sourceCaption="Product" count="22">
          <ranges>
            <range startItem="0">
              <i n="[Table1].[Product].&amp;[50% Dark Bites]" c="50% Dark Bites"/>
              <i n="[Table1].[Product].&amp;[70% Dark Bites]" c="70% Dark Bites"/>
              <i n="[Table1].[Product].&amp;[85% Dark Bars]" c="85% Dark Bars"/>
              <i n="[Table1].[Product].&amp;[99% Dark &amp; Pure]" c="99% Dark &amp; Pure"/>
              <i n="[Table1].[Product].&amp;[After Nines]" c="After Nines"/>
              <i n="[Table1].[Product].&amp;[Almond Choco]" c="Almond Choco"/>
              <i n="[Table1].[Product].&amp;[Baker's Choco Chips]" c="Baker's Choco Chips"/>
              <i n="[Table1].[Product].&amp;[Caramel Stuffed Bars]" c="Caramel Stuffed Bars"/>
              <i n="[Table1].[Product].&amp;[Choco Coated Almonds]" c="Choco Coated Almonds"/>
              <i n="[Table1].[Product].&amp;[Drinking Coco]" c="Drinking Coco"/>
              <i n="[Table1].[Product].&amp;[Eclairs]" c="Eclairs"/>
              <i n="[Table1].[Product].&amp;[Fruit &amp; Nut Bars]" c="Fruit &amp; Nut Bars"/>
              <i n="[Table1].[Product].&amp;[Manuka Honey Choco]" c="Manuka Honey Choco"/>
              <i n="[Table1].[Product].&amp;[Milk Bars]" c="Milk Bars"/>
              <i n="[Table1].[Product].&amp;[Mint Chip Choco]" c="Mint Chip Choco"/>
              <i n="[Table1].[Product].&amp;[Orange Choco]" c="Orange Choco"/>
              <i n="[Table1].[Product].&amp;[Organic Choco Syrup]" c="Organic Choco Syrup"/>
              <i n="[Table1].[Product].&amp;[Peanut Butter Cubes]" c="Peanut Butter Cubes"/>
              <i n="[Table1].[Product].&amp;[Raspberry Choco]" c="Raspberry Choco"/>
              <i n="[Table1].[Product].&amp;[Smooth Sliky Salty]" c="Smooth Sliky Salty"/>
              <i n="[Table1].[Product].&amp;[Spicy Special Slims]" c="Spicy Special Slims"/>
              <i n="[Table1].[Product].&amp;[White Choc]" c="White Choc"/>
            </range>
          </ranges>
        </level>
      </levels>
      <selections count="1">
        <selection n="[Table1].[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CBB1058-33F7-44C5-BFAC-5B11E3D9ECD0}" cache="Slicer_Product" caption="Product" level="1"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43ACD88-36F7-4B78-A59E-EC4DE6CEB861}" cache="Slicer_Product" caption="Product" level="1"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614A1D-32F2-45D9-9985-47623AA3C298}" name="Table1" displayName="Table1" ref="E4:Q319" totalsRowShown="0">
  <autoFilter ref="E4:Q319" xr:uid="{3C614A1D-32F2-45D9-9985-47623AA3C298}"/>
  <tableColumns count="13">
    <tableColumn id="1" xr3:uid="{09F99D62-1257-4E02-BC8C-802DE5AE924B}" name="Order-ID"/>
    <tableColumn id="2" xr3:uid="{1D691594-04D2-40E9-82EB-3CF8C6E76993}" name="Sales Person"/>
    <tableColumn id="3" xr3:uid="{F70C4FE9-8E85-42F9-ACEB-ABFF61A1EEC9}" name="Geography"/>
    <tableColumn id="4" xr3:uid="{93E788B7-1003-4C7D-A1C1-738300345C20}" name="Product"/>
    <tableColumn id="5" xr3:uid="{2C0C0AC0-0256-46C9-BA95-69B71EB5A142}" name="unit price"/>
    <tableColumn id="6" xr3:uid="{37A44054-FE63-4795-839C-675E6CB63F64}" name="Units"/>
    <tableColumn id="7" xr3:uid="{D23653FE-86FB-42D4-8C68-99F02DC25C29}" name="Order date " dataDxfId="6"/>
    <tableColumn id="8" xr3:uid="{ED1FBA4C-A7CA-4CCD-970D-45893D2FDFEE}" name="Total sales" dataDxfId="5">
      <calculatedColumnFormula>Table1[[#This Row],[unit price]]*Table1[[#This Row],[Units]]</calculatedColumnFormula>
    </tableColumn>
    <tableColumn id="10" xr3:uid="{B2D76C5C-B72A-4560-808D-6E9773B0EECD}" name="day2" dataDxfId="4">
      <calculatedColumnFormula>TEXT(Table1[[#This Row],[Order date ]],"dddd")</calculatedColumnFormula>
    </tableColumn>
    <tableColumn id="11" xr3:uid="{FF960122-DF11-4454-8334-3353ADDFEF63}" name="month" dataDxfId="1">
      <calculatedColumnFormula>MONTH(Table1[[#This Row],[Order date ]])</calculatedColumnFormula>
    </tableColumn>
    <tableColumn id="12" xr3:uid="{8754FC10-B1F9-4FC8-A6DC-7E3E3FB9B876}" name="month2" dataDxfId="0">
      <calculatedColumnFormula>TEXT(Table1[[#This Row],[Order date ]],"mmm")</calculatedColumnFormula>
    </tableColumn>
    <tableColumn id="13" xr3:uid="{C8D8CB5D-A1D3-44C5-9A5C-8FDB235CE29A}" name="quarter" dataDxfId="3">
      <calculatedColumnFormula>ROUNDUP(Table1[[#This Row],[month]]/3,0)</calculatedColumnFormula>
    </tableColumn>
    <tableColumn id="14" xr3:uid="{3E0D58EE-66F5-43A0-80E0-5259C2DCC9EE}" name="quarter2" dataDxfId="2">
      <calculatedColumnFormula>"Q"&amp;ROUNDUP(Table1[[#This Row],[month]]/3,0)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4:K340"/>
  <sheetViews>
    <sheetView topLeftCell="B1" zoomScale="130" zoomScaleNormal="130" workbookViewId="0">
      <selection activeCell="D17" sqref="D17"/>
    </sheetView>
  </sheetViews>
  <sheetFormatPr defaultRowHeight="15" x14ac:dyDescent="0.25"/>
  <cols>
    <col min="1" max="1" width="2.42578125" customWidth="1"/>
    <col min="2" max="2" width="4.85546875" customWidth="1"/>
    <col min="3" max="3" width="9.7109375" customWidth="1"/>
    <col min="4" max="4" width="11.42578125" bestFit="1" customWidth="1"/>
    <col min="5" max="5" width="8.140625" bestFit="1" customWidth="1"/>
    <col min="6" max="6" width="7.42578125" bestFit="1" customWidth="1"/>
    <col min="7" max="7" width="5.28515625" bestFit="1" customWidth="1"/>
    <col min="8" max="8" width="4.7109375" customWidth="1"/>
  </cols>
  <sheetData>
    <row r="4" spans="5:11" x14ac:dyDescent="0.25">
      <c r="E4" t="s">
        <v>47</v>
      </c>
      <c r="F4" t="s">
        <v>4</v>
      </c>
      <c r="G4" t="s">
        <v>5</v>
      </c>
      <c r="H4" t="s">
        <v>0</v>
      </c>
      <c r="I4" t="s">
        <v>1</v>
      </c>
      <c r="J4" t="s">
        <v>27</v>
      </c>
      <c r="K4" t="s">
        <v>46</v>
      </c>
    </row>
    <row r="5" spans="5:11" x14ac:dyDescent="0.25">
      <c r="E5">
        <v>1</v>
      </c>
      <c r="F5" t="s">
        <v>36</v>
      </c>
      <c r="G5" t="s">
        <v>40</v>
      </c>
      <c r="H5" t="s">
        <v>23</v>
      </c>
      <c r="I5">
        <v>1624</v>
      </c>
      <c r="J5">
        <v>114</v>
      </c>
      <c r="K5" s="4">
        <v>44927</v>
      </c>
    </row>
    <row r="6" spans="5:11" x14ac:dyDescent="0.25">
      <c r="E6">
        <v>2</v>
      </c>
      <c r="F6" t="s">
        <v>29</v>
      </c>
      <c r="G6" t="s">
        <v>45</v>
      </c>
      <c r="H6" t="s">
        <v>25</v>
      </c>
      <c r="I6">
        <v>6706</v>
      </c>
      <c r="J6">
        <v>459</v>
      </c>
      <c r="K6" s="4">
        <v>44928</v>
      </c>
    </row>
    <row r="7" spans="5:11" x14ac:dyDescent="0.25">
      <c r="E7">
        <v>3</v>
      </c>
      <c r="F7" t="s">
        <v>3</v>
      </c>
      <c r="G7" t="s">
        <v>45</v>
      </c>
      <c r="H7" t="s">
        <v>2</v>
      </c>
      <c r="I7">
        <v>959</v>
      </c>
      <c r="J7">
        <v>147</v>
      </c>
      <c r="K7" s="4">
        <v>44929</v>
      </c>
    </row>
    <row r="8" spans="5:11" x14ac:dyDescent="0.25">
      <c r="E8">
        <v>4</v>
      </c>
      <c r="F8" t="s">
        <v>30</v>
      </c>
      <c r="G8" t="s">
        <v>38</v>
      </c>
      <c r="H8" t="s">
        <v>11</v>
      </c>
      <c r="I8">
        <v>9632</v>
      </c>
      <c r="J8">
        <v>288</v>
      </c>
      <c r="K8" s="4">
        <v>44930</v>
      </c>
    </row>
    <row r="9" spans="5:11" x14ac:dyDescent="0.25">
      <c r="E9">
        <v>5</v>
      </c>
      <c r="F9" t="s">
        <v>32</v>
      </c>
      <c r="G9" t="s">
        <v>43</v>
      </c>
      <c r="H9" t="s">
        <v>18</v>
      </c>
      <c r="I9">
        <v>2100</v>
      </c>
      <c r="J9">
        <v>414</v>
      </c>
      <c r="K9" s="4">
        <v>44931</v>
      </c>
    </row>
    <row r="10" spans="5:11" x14ac:dyDescent="0.25">
      <c r="E10">
        <v>6</v>
      </c>
      <c r="F10" t="s">
        <v>36</v>
      </c>
      <c r="G10" t="s">
        <v>45</v>
      </c>
      <c r="H10" t="s">
        <v>26</v>
      </c>
      <c r="I10">
        <v>8869</v>
      </c>
      <c r="J10">
        <v>432</v>
      </c>
      <c r="K10" s="4">
        <v>44932</v>
      </c>
    </row>
    <row r="11" spans="5:11" x14ac:dyDescent="0.25">
      <c r="E11">
        <v>7</v>
      </c>
      <c r="F11" t="s">
        <v>32</v>
      </c>
      <c r="G11" t="s">
        <v>37</v>
      </c>
      <c r="H11" t="s">
        <v>24</v>
      </c>
      <c r="I11">
        <v>2681</v>
      </c>
      <c r="J11">
        <v>54</v>
      </c>
      <c r="K11" s="4">
        <v>44933</v>
      </c>
    </row>
    <row r="12" spans="5:11" x14ac:dyDescent="0.25">
      <c r="E12">
        <v>8</v>
      </c>
      <c r="F12" t="s">
        <v>29</v>
      </c>
      <c r="G12" t="s">
        <v>45</v>
      </c>
      <c r="H12" t="s">
        <v>15</v>
      </c>
      <c r="I12">
        <v>5012</v>
      </c>
      <c r="J12">
        <v>210</v>
      </c>
      <c r="K12" s="4">
        <v>44934</v>
      </c>
    </row>
    <row r="13" spans="5:11" x14ac:dyDescent="0.25">
      <c r="E13">
        <v>9</v>
      </c>
      <c r="F13" t="s">
        <v>31</v>
      </c>
      <c r="G13" t="s">
        <v>37</v>
      </c>
      <c r="H13" t="s">
        <v>7</v>
      </c>
      <c r="I13">
        <v>1281</v>
      </c>
      <c r="J13">
        <v>75</v>
      </c>
      <c r="K13" s="4">
        <v>44935</v>
      </c>
    </row>
    <row r="14" spans="5:11" x14ac:dyDescent="0.25">
      <c r="E14">
        <v>10</v>
      </c>
      <c r="F14" t="s">
        <v>33</v>
      </c>
      <c r="G14" t="s">
        <v>41</v>
      </c>
      <c r="H14" t="s">
        <v>7</v>
      </c>
      <c r="I14">
        <v>4991</v>
      </c>
      <c r="J14">
        <v>12</v>
      </c>
      <c r="K14" s="4">
        <v>44936</v>
      </c>
    </row>
    <row r="15" spans="5:11" x14ac:dyDescent="0.25">
      <c r="E15">
        <v>11</v>
      </c>
      <c r="F15" t="s">
        <v>28</v>
      </c>
      <c r="G15" t="s">
        <v>44</v>
      </c>
      <c r="H15" t="s">
        <v>18</v>
      </c>
      <c r="I15">
        <v>1785</v>
      </c>
      <c r="J15">
        <v>462</v>
      </c>
      <c r="K15" s="4">
        <v>44937</v>
      </c>
    </row>
    <row r="16" spans="5:11" x14ac:dyDescent="0.25">
      <c r="E16">
        <v>12</v>
      </c>
      <c r="F16" t="s">
        <v>34</v>
      </c>
      <c r="G16" t="s">
        <v>42</v>
      </c>
      <c r="H16" t="s">
        <v>10</v>
      </c>
      <c r="I16">
        <v>3983</v>
      </c>
      <c r="J16">
        <v>144</v>
      </c>
      <c r="K16" s="4">
        <v>44938</v>
      </c>
    </row>
    <row r="17" spans="5:11" x14ac:dyDescent="0.25">
      <c r="E17">
        <v>13</v>
      </c>
      <c r="F17" t="s">
        <v>3</v>
      </c>
      <c r="G17" t="s">
        <v>37</v>
      </c>
      <c r="H17" t="s">
        <v>9</v>
      </c>
      <c r="I17">
        <v>2646</v>
      </c>
      <c r="J17">
        <v>120</v>
      </c>
      <c r="K17" s="4">
        <v>44939</v>
      </c>
    </row>
    <row r="18" spans="5:11" x14ac:dyDescent="0.25">
      <c r="E18">
        <v>14</v>
      </c>
      <c r="F18" t="s">
        <v>28</v>
      </c>
      <c r="G18" t="s">
        <v>39</v>
      </c>
      <c r="H18" t="s">
        <v>6</v>
      </c>
      <c r="I18">
        <v>252</v>
      </c>
      <c r="J18">
        <v>54</v>
      </c>
      <c r="K18" s="4">
        <v>44940</v>
      </c>
    </row>
    <row r="19" spans="5:11" x14ac:dyDescent="0.25">
      <c r="E19">
        <v>15</v>
      </c>
      <c r="F19" t="s">
        <v>34</v>
      </c>
      <c r="G19" t="s">
        <v>45</v>
      </c>
      <c r="H19" t="s">
        <v>18</v>
      </c>
      <c r="I19">
        <v>2464</v>
      </c>
      <c r="J19">
        <v>234</v>
      </c>
      <c r="K19" s="4">
        <v>44941</v>
      </c>
    </row>
    <row r="20" spans="5:11" x14ac:dyDescent="0.25">
      <c r="E20">
        <v>16</v>
      </c>
      <c r="F20" t="s">
        <v>34</v>
      </c>
      <c r="G20" t="s">
        <v>45</v>
      </c>
      <c r="H20" t="s">
        <v>22</v>
      </c>
      <c r="I20">
        <v>2114</v>
      </c>
      <c r="J20">
        <v>66</v>
      </c>
      <c r="K20" s="4">
        <v>44942</v>
      </c>
    </row>
    <row r="21" spans="5:11" x14ac:dyDescent="0.25">
      <c r="E21">
        <v>17</v>
      </c>
      <c r="F21" t="s">
        <v>32</v>
      </c>
      <c r="G21" t="s">
        <v>40</v>
      </c>
      <c r="H21" t="s">
        <v>24</v>
      </c>
      <c r="I21">
        <v>7693</v>
      </c>
      <c r="J21">
        <v>87</v>
      </c>
      <c r="K21" s="4">
        <v>44943</v>
      </c>
    </row>
    <row r="22" spans="5:11" x14ac:dyDescent="0.25">
      <c r="E22">
        <v>18</v>
      </c>
      <c r="F22" t="s">
        <v>33</v>
      </c>
      <c r="G22" t="s">
        <v>39</v>
      </c>
      <c r="H22" t="s">
        <v>13</v>
      </c>
      <c r="I22">
        <v>15610</v>
      </c>
      <c r="J22">
        <v>339</v>
      </c>
      <c r="K22" s="4">
        <v>44944</v>
      </c>
    </row>
    <row r="23" spans="5:11" x14ac:dyDescent="0.25">
      <c r="E23">
        <v>19</v>
      </c>
      <c r="F23" t="s">
        <v>30</v>
      </c>
      <c r="G23" t="s">
        <v>39</v>
      </c>
      <c r="H23" t="s">
        <v>15</v>
      </c>
      <c r="I23">
        <v>336</v>
      </c>
      <c r="J23">
        <v>144</v>
      </c>
      <c r="K23" s="4">
        <v>44945</v>
      </c>
    </row>
    <row r="24" spans="5:11" x14ac:dyDescent="0.25">
      <c r="E24">
        <v>20</v>
      </c>
      <c r="F24" t="s">
        <v>28</v>
      </c>
      <c r="G24" t="s">
        <v>44</v>
      </c>
      <c r="H24" t="s">
        <v>13</v>
      </c>
      <c r="I24">
        <v>9443</v>
      </c>
      <c r="J24">
        <v>162</v>
      </c>
      <c r="K24" s="4">
        <v>44946</v>
      </c>
    </row>
    <row r="25" spans="5:11" x14ac:dyDescent="0.25">
      <c r="E25">
        <v>21</v>
      </c>
      <c r="F25" t="s">
        <v>3</v>
      </c>
      <c r="G25" t="s">
        <v>39</v>
      </c>
      <c r="H25" t="s">
        <v>16</v>
      </c>
      <c r="I25">
        <v>8155</v>
      </c>
      <c r="J25">
        <v>90</v>
      </c>
      <c r="K25" s="4">
        <v>44947</v>
      </c>
    </row>
    <row r="26" spans="5:11" x14ac:dyDescent="0.25">
      <c r="E26">
        <v>22</v>
      </c>
      <c r="F26" t="s">
        <v>29</v>
      </c>
      <c r="G26" t="s">
        <v>37</v>
      </c>
      <c r="H26" t="s">
        <v>16</v>
      </c>
      <c r="I26">
        <v>1701</v>
      </c>
      <c r="J26">
        <v>234</v>
      </c>
      <c r="K26" s="4">
        <v>44948</v>
      </c>
    </row>
    <row r="27" spans="5:11" x14ac:dyDescent="0.25">
      <c r="E27">
        <v>23</v>
      </c>
      <c r="F27" t="s">
        <v>35</v>
      </c>
      <c r="G27" t="s">
        <v>37</v>
      </c>
      <c r="H27" t="s">
        <v>15</v>
      </c>
      <c r="I27">
        <v>2205</v>
      </c>
      <c r="J27">
        <v>141</v>
      </c>
      <c r="K27" s="4">
        <v>44949</v>
      </c>
    </row>
    <row r="28" spans="5:11" x14ac:dyDescent="0.25">
      <c r="E28">
        <v>24</v>
      </c>
      <c r="F28" t="s">
        <v>29</v>
      </c>
      <c r="G28" t="s">
        <v>40</v>
      </c>
      <c r="H28" t="s">
        <v>12</v>
      </c>
      <c r="I28">
        <v>1771</v>
      </c>
      <c r="J28">
        <v>204</v>
      </c>
      <c r="K28" s="4">
        <v>44950</v>
      </c>
    </row>
    <row r="29" spans="5:11" x14ac:dyDescent="0.25">
      <c r="E29">
        <v>25</v>
      </c>
      <c r="F29" t="s">
        <v>30</v>
      </c>
      <c r="G29" t="s">
        <v>45</v>
      </c>
      <c r="H29" t="s">
        <v>8</v>
      </c>
      <c r="I29">
        <v>2114</v>
      </c>
      <c r="J29">
        <v>186</v>
      </c>
      <c r="K29" s="4">
        <v>44951</v>
      </c>
    </row>
    <row r="30" spans="5:11" x14ac:dyDescent="0.25">
      <c r="E30">
        <v>26</v>
      </c>
      <c r="F30" t="s">
        <v>30</v>
      </c>
      <c r="G30" t="s">
        <v>38</v>
      </c>
      <c r="H30" t="s">
        <v>6</v>
      </c>
      <c r="I30">
        <v>10311</v>
      </c>
      <c r="J30">
        <v>231</v>
      </c>
      <c r="K30" s="4">
        <v>44952</v>
      </c>
    </row>
    <row r="31" spans="5:11" x14ac:dyDescent="0.25">
      <c r="E31">
        <v>27</v>
      </c>
      <c r="F31" t="s">
        <v>34</v>
      </c>
      <c r="G31" t="s">
        <v>44</v>
      </c>
      <c r="H31" t="s">
        <v>9</v>
      </c>
      <c r="I31">
        <v>21</v>
      </c>
      <c r="J31">
        <v>168</v>
      </c>
      <c r="K31" s="4">
        <v>44953</v>
      </c>
    </row>
    <row r="32" spans="5:11" x14ac:dyDescent="0.25">
      <c r="E32">
        <v>28</v>
      </c>
      <c r="F32" t="s">
        <v>35</v>
      </c>
      <c r="G32" t="s">
        <v>45</v>
      </c>
      <c r="H32" t="s">
        <v>13</v>
      </c>
      <c r="I32">
        <v>1974</v>
      </c>
      <c r="J32">
        <v>195</v>
      </c>
      <c r="K32" s="4">
        <v>44954</v>
      </c>
    </row>
    <row r="33" spans="5:11" x14ac:dyDescent="0.25">
      <c r="E33">
        <v>29</v>
      </c>
      <c r="F33" t="s">
        <v>33</v>
      </c>
      <c r="G33" t="s">
        <v>38</v>
      </c>
      <c r="H33" t="s">
        <v>16</v>
      </c>
      <c r="I33">
        <v>6314</v>
      </c>
      <c r="J33">
        <v>15</v>
      </c>
      <c r="K33" s="4">
        <v>44955</v>
      </c>
    </row>
    <row r="34" spans="5:11" x14ac:dyDescent="0.25">
      <c r="E34">
        <v>30</v>
      </c>
      <c r="F34" t="s">
        <v>35</v>
      </c>
      <c r="G34" t="s">
        <v>40</v>
      </c>
      <c r="H34" t="s">
        <v>16</v>
      </c>
      <c r="I34">
        <v>4683</v>
      </c>
      <c r="J34">
        <v>30</v>
      </c>
      <c r="K34" s="4">
        <v>44956</v>
      </c>
    </row>
    <row r="35" spans="5:11" x14ac:dyDescent="0.25">
      <c r="E35">
        <v>31</v>
      </c>
      <c r="F35" t="s">
        <v>30</v>
      </c>
      <c r="G35" t="s">
        <v>40</v>
      </c>
      <c r="H35" t="s">
        <v>17</v>
      </c>
      <c r="I35">
        <v>6398</v>
      </c>
      <c r="J35">
        <v>102</v>
      </c>
      <c r="K35" s="4">
        <v>44957</v>
      </c>
    </row>
    <row r="36" spans="5:11" x14ac:dyDescent="0.25">
      <c r="E36">
        <v>32</v>
      </c>
      <c r="F36" t="s">
        <v>28</v>
      </c>
      <c r="G36" t="s">
        <v>45</v>
      </c>
      <c r="H36" t="s">
        <v>12</v>
      </c>
      <c r="I36">
        <v>553</v>
      </c>
      <c r="J36">
        <v>15</v>
      </c>
      <c r="K36" s="4">
        <v>44958</v>
      </c>
    </row>
    <row r="37" spans="5:11" x14ac:dyDescent="0.25">
      <c r="E37">
        <v>33</v>
      </c>
      <c r="F37" t="s">
        <v>29</v>
      </c>
      <c r="G37" t="s">
        <v>44</v>
      </c>
      <c r="H37" t="s">
        <v>23</v>
      </c>
      <c r="I37">
        <v>7021</v>
      </c>
      <c r="J37">
        <v>183</v>
      </c>
      <c r="K37" s="4">
        <v>44959</v>
      </c>
    </row>
    <row r="38" spans="5:11" x14ac:dyDescent="0.25">
      <c r="E38">
        <v>34</v>
      </c>
      <c r="F38" t="s">
        <v>36</v>
      </c>
      <c r="G38" t="s">
        <v>44</v>
      </c>
      <c r="H38" t="s">
        <v>15</v>
      </c>
      <c r="I38">
        <v>5817</v>
      </c>
      <c r="J38">
        <v>12</v>
      </c>
      <c r="K38" s="4">
        <v>44960</v>
      </c>
    </row>
    <row r="39" spans="5:11" x14ac:dyDescent="0.25">
      <c r="E39">
        <v>35</v>
      </c>
      <c r="F39" t="s">
        <v>30</v>
      </c>
      <c r="G39" t="s">
        <v>44</v>
      </c>
      <c r="H39" t="s">
        <v>7</v>
      </c>
      <c r="I39">
        <v>3976</v>
      </c>
      <c r="J39">
        <v>72</v>
      </c>
      <c r="K39" s="4">
        <v>44961</v>
      </c>
    </row>
    <row r="40" spans="5:11" x14ac:dyDescent="0.25">
      <c r="E40">
        <v>36</v>
      </c>
      <c r="F40" t="s">
        <v>32</v>
      </c>
      <c r="G40" t="s">
        <v>37</v>
      </c>
      <c r="H40" t="s">
        <v>20</v>
      </c>
      <c r="I40">
        <v>1134</v>
      </c>
      <c r="J40">
        <v>282</v>
      </c>
      <c r="K40" s="4">
        <v>44962</v>
      </c>
    </row>
    <row r="41" spans="5:11" x14ac:dyDescent="0.25">
      <c r="E41">
        <v>37</v>
      </c>
      <c r="F41" t="s">
        <v>28</v>
      </c>
      <c r="G41" t="s">
        <v>44</v>
      </c>
      <c r="H41" t="s">
        <v>21</v>
      </c>
      <c r="I41">
        <v>6027</v>
      </c>
      <c r="J41">
        <v>144</v>
      </c>
      <c r="K41" s="4">
        <v>44963</v>
      </c>
    </row>
    <row r="42" spans="5:11" x14ac:dyDescent="0.25">
      <c r="E42">
        <v>38</v>
      </c>
      <c r="F42" t="s">
        <v>32</v>
      </c>
      <c r="G42" t="s">
        <v>40</v>
      </c>
      <c r="H42" t="s">
        <v>9</v>
      </c>
      <c r="I42">
        <v>1904</v>
      </c>
      <c r="J42">
        <v>405</v>
      </c>
      <c r="K42" s="4">
        <v>44964</v>
      </c>
    </row>
    <row r="43" spans="5:11" x14ac:dyDescent="0.25">
      <c r="E43">
        <v>39</v>
      </c>
      <c r="F43" t="s">
        <v>31</v>
      </c>
      <c r="G43" t="s">
        <v>39</v>
      </c>
      <c r="H43" t="s">
        <v>25</v>
      </c>
      <c r="I43">
        <v>3262</v>
      </c>
      <c r="J43">
        <v>75</v>
      </c>
      <c r="K43" s="4">
        <v>44965</v>
      </c>
    </row>
    <row r="44" spans="5:11" x14ac:dyDescent="0.25">
      <c r="E44">
        <v>40</v>
      </c>
      <c r="F44" t="s">
        <v>36</v>
      </c>
      <c r="G44" t="s">
        <v>39</v>
      </c>
      <c r="H44" t="s">
        <v>20</v>
      </c>
      <c r="I44">
        <v>2289</v>
      </c>
      <c r="J44">
        <v>135</v>
      </c>
      <c r="K44" s="4">
        <v>44966</v>
      </c>
    </row>
    <row r="45" spans="5:11" x14ac:dyDescent="0.25">
      <c r="E45">
        <v>41</v>
      </c>
      <c r="F45" t="s">
        <v>33</v>
      </c>
      <c r="G45" t="s">
        <v>39</v>
      </c>
      <c r="H45" t="s">
        <v>20</v>
      </c>
      <c r="I45">
        <v>6986</v>
      </c>
      <c r="J45">
        <v>21</v>
      </c>
      <c r="K45" s="4">
        <v>44967</v>
      </c>
    </row>
    <row r="46" spans="5:11" x14ac:dyDescent="0.25">
      <c r="E46">
        <v>42</v>
      </c>
      <c r="F46" t="s">
        <v>28</v>
      </c>
      <c r="G46" t="s">
        <v>37</v>
      </c>
      <c r="H46" t="s">
        <v>16</v>
      </c>
      <c r="I46">
        <v>4417</v>
      </c>
      <c r="J46">
        <v>153</v>
      </c>
      <c r="K46" s="4">
        <v>44968</v>
      </c>
    </row>
    <row r="47" spans="5:11" x14ac:dyDescent="0.25">
      <c r="E47">
        <v>43</v>
      </c>
      <c r="F47" t="s">
        <v>32</v>
      </c>
      <c r="G47" t="s">
        <v>39</v>
      </c>
      <c r="H47" t="s">
        <v>8</v>
      </c>
      <c r="I47">
        <v>1442</v>
      </c>
      <c r="J47">
        <v>15</v>
      </c>
      <c r="K47" s="4">
        <v>44969</v>
      </c>
    </row>
    <row r="48" spans="5:11" x14ac:dyDescent="0.25">
      <c r="E48">
        <v>44</v>
      </c>
      <c r="F48" t="s">
        <v>34</v>
      </c>
      <c r="G48" t="s">
        <v>45</v>
      </c>
      <c r="H48" t="s">
        <v>7</v>
      </c>
      <c r="I48">
        <v>2415</v>
      </c>
      <c r="J48">
        <v>255</v>
      </c>
      <c r="K48" s="4">
        <v>44970</v>
      </c>
    </row>
    <row r="49" spans="5:11" x14ac:dyDescent="0.25">
      <c r="E49">
        <v>45</v>
      </c>
      <c r="F49" t="s">
        <v>28</v>
      </c>
      <c r="G49" t="s">
        <v>40</v>
      </c>
      <c r="H49" t="s">
        <v>12</v>
      </c>
      <c r="I49">
        <v>238</v>
      </c>
      <c r="J49">
        <v>18</v>
      </c>
      <c r="K49" s="4">
        <v>44971</v>
      </c>
    </row>
    <row r="50" spans="5:11" x14ac:dyDescent="0.25">
      <c r="E50">
        <v>46</v>
      </c>
      <c r="F50" t="s">
        <v>32</v>
      </c>
      <c r="G50" t="s">
        <v>40</v>
      </c>
      <c r="H50" t="s">
        <v>16</v>
      </c>
      <c r="I50">
        <v>4949</v>
      </c>
      <c r="J50">
        <v>189</v>
      </c>
      <c r="K50" s="4">
        <v>44972</v>
      </c>
    </row>
    <row r="51" spans="5:11" x14ac:dyDescent="0.25">
      <c r="E51">
        <v>47</v>
      </c>
      <c r="F51" t="s">
        <v>33</v>
      </c>
      <c r="G51" t="s">
        <v>37</v>
      </c>
      <c r="H51" t="s">
        <v>25</v>
      </c>
      <c r="I51">
        <v>5075</v>
      </c>
      <c r="J51">
        <v>21</v>
      </c>
      <c r="K51" s="4">
        <v>44973</v>
      </c>
    </row>
    <row r="52" spans="5:11" x14ac:dyDescent="0.25">
      <c r="E52">
        <v>48</v>
      </c>
      <c r="F52" t="s">
        <v>34</v>
      </c>
      <c r="G52" t="s">
        <v>38</v>
      </c>
      <c r="H52" t="s">
        <v>9</v>
      </c>
      <c r="I52">
        <v>9198</v>
      </c>
      <c r="J52">
        <v>36</v>
      </c>
      <c r="K52" s="4">
        <v>44974</v>
      </c>
    </row>
    <row r="53" spans="5:11" x14ac:dyDescent="0.25">
      <c r="E53">
        <v>49</v>
      </c>
      <c r="F53" t="s">
        <v>32</v>
      </c>
      <c r="G53" t="s">
        <v>39</v>
      </c>
      <c r="H53" t="s">
        <v>22</v>
      </c>
      <c r="I53">
        <v>3339</v>
      </c>
      <c r="J53">
        <v>75</v>
      </c>
      <c r="K53" s="4">
        <v>44975</v>
      </c>
    </row>
    <row r="54" spans="5:11" x14ac:dyDescent="0.25">
      <c r="E54">
        <v>50</v>
      </c>
      <c r="F54" t="s">
        <v>36</v>
      </c>
      <c r="G54" t="s">
        <v>39</v>
      </c>
      <c r="H54" t="s">
        <v>10</v>
      </c>
      <c r="I54">
        <v>5019</v>
      </c>
      <c r="J54">
        <v>156</v>
      </c>
      <c r="K54" s="4">
        <v>44976</v>
      </c>
    </row>
    <row r="55" spans="5:11" x14ac:dyDescent="0.25">
      <c r="E55">
        <v>51</v>
      </c>
      <c r="F55" t="s">
        <v>33</v>
      </c>
      <c r="G55" t="s">
        <v>38</v>
      </c>
      <c r="H55" t="s">
        <v>9</v>
      </c>
      <c r="I55">
        <v>16184</v>
      </c>
      <c r="J55">
        <v>39</v>
      </c>
      <c r="K55" s="4">
        <v>44977</v>
      </c>
    </row>
    <row r="56" spans="5:11" x14ac:dyDescent="0.25">
      <c r="E56">
        <v>52</v>
      </c>
      <c r="F56" t="s">
        <v>32</v>
      </c>
      <c r="G56" t="s">
        <v>38</v>
      </c>
      <c r="H56" t="s">
        <v>14</v>
      </c>
      <c r="I56">
        <v>497</v>
      </c>
      <c r="J56">
        <v>63</v>
      </c>
      <c r="K56" s="4">
        <v>44978</v>
      </c>
    </row>
    <row r="57" spans="5:11" x14ac:dyDescent="0.25">
      <c r="E57">
        <v>53</v>
      </c>
      <c r="F57" t="s">
        <v>28</v>
      </c>
      <c r="G57" t="s">
        <v>38</v>
      </c>
      <c r="H57" t="s">
        <v>22</v>
      </c>
      <c r="I57">
        <v>8211</v>
      </c>
      <c r="J57">
        <v>75</v>
      </c>
      <c r="K57" s="4">
        <v>44979</v>
      </c>
    </row>
    <row r="58" spans="5:11" x14ac:dyDescent="0.25">
      <c r="E58">
        <v>54</v>
      </c>
      <c r="F58" t="s">
        <v>28</v>
      </c>
      <c r="G58" t="s">
        <v>37</v>
      </c>
      <c r="H58" t="s">
        <v>21</v>
      </c>
      <c r="I58">
        <v>6580</v>
      </c>
      <c r="J58">
        <v>183</v>
      </c>
      <c r="K58" s="4">
        <v>44980</v>
      </c>
    </row>
    <row r="59" spans="5:11" x14ac:dyDescent="0.25">
      <c r="E59">
        <v>55</v>
      </c>
      <c r="F59" t="s">
        <v>30</v>
      </c>
      <c r="G59" t="s">
        <v>45</v>
      </c>
      <c r="H59" t="s">
        <v>6</v>
      </c>
      <c r="I59">
        <v>4760</v>
      </c>
      <c r="J59">
        <v>69</v>
      </c>
      <c r="K59" s="4">
        <v>44981</v>
      </c>
    </row>
    <row r="60" spans="5:11" x14ac:dyDescent="0.25">
      <c r="E60">
        <v>56</v>
      </c>
      <c r="F60" t="s">
        <v>36</v>
      </c>
      <c r="G60" t="s">
        <v>38</v>
      </c>
      <c r="H60" t="s">
        <v>18</v>
      </c>
      <c r="I60">
        <v>5439</v>
      </c>
      <c r="J60">
        <v>30</v>
      </c>
      <c r="K60" s="4">
        <v>44982</v>
      </c>
    </row>
    <row r="61" spans="5:11" x14ac:dyDescent="0.25">
      <c r="E61">
        <v>57</v>
      </c>
      <c r="F61" t="s">
        <v>30</v>
      </c>
      <c r="G61" t="s">
        <v>39</v>
      </c>
      <c r="H61" t="s">
        <v>10</v>
      </c>
      <c r="I61">
        <v>1463</v>
      </c>
      <c r="J61">
        <v>39</v>
      </c>
      <c r="K61" s="4">
        <v>44983</v>
      </c>
    </row>
    <row r="62" spans="5:11" x14ac:dyDescent="0.25">
      <c r="E62">
        <v>58</v>
      </c>
      <c r="F62" t="s">
        <v>34</v>
      </c>
      <c r="G62" t="s">
        <v>39</v>
      </c>
      <c r="H62" t="s">
        <v>25</v>
      </c>
      <c r="I62">
        <v>7777</v>
      </c>
      <c r="J62">
        <v>504</v>
      </c>
      <c r="K62" s="4">
        <v>44984</v>
      </c>
    </row>
    <row r="63" spans="5:11" x14ac:dyDescent="0.25">
      <c r="E63">
        <v>59</v>
      </c>
      <c r="F63" t="s">
        <v>3</v>
      </c>
      <c r="G63" t="s">
        <v>40</v>
      </c>
      <c r="H63" t="s">
        <v>22</v>
      </c>
      <c r="I63">
        <v>1085</v>
      </c>
      <c r="J63">
        <v>273</v>
      </c>
      <c r="K63" s="4">
        <v>44985</v>
      </c>
    </row>
    <row r="64" spans="5:11" x14ac:dyDescent="0.25">
      <c r="E64">
        <v>60</v>
      </c>
      <c r="F64" t="s">
        <v>33</v>
      </c>
      <c r="G64" t="s">
        <v>40</v>
      </c>
      <c r="H64" t="s">
        <v>24</v>
      </c>
      <c r="I64">
        <v>182</v>
      </c>
      <c r="J64">
        <v>48</v>
      </c>
      <c r="K64" s="4">
        <v>44986</v>
      </c>
    </row>
    <row r="65" spans="5:11" x14ac:dyDescent="0.25">
      <c r="E65">
        <v>61</v>
      </c>
      <c r="F65" t="s">
        <v>32</v>
      </c>
      <c r="G65" t="s">
        <v>39</v>
      </c>
      <c r="H65" t="s">
        <v>20</v>
      </c>
      <c r="I65">
        <v>4242</v>
      </c>
      <c r="J65">
        <v>207</v>
      </c>
      <c r="K65" s="4">
        <v>44987</v>
      </c>
    </row>
    <row r="66" spans="5:11" x14ac:dyDescent="0.25">
      <c r="E66">
        <v>62</v>
      </c>
      <c r="F66" t="s">
        <v>32</v>
      </c>
      <c r="G66" t="s">
        <v>38</v>
      </c>
      <c r="H66" t="s">
        <v>25</v>
      </c>
      <c r="I66">
        <v>6118</v>
      </c>
      <c r="J66">
        <v>9</v>
      </c>
      <c r="K66" s="4">
        <v>44988</v>
      </c>
    </row>
    <row r="67" spans="5:11" x14ac:dyDescent="0.25">
      <c r="E67">
        <v>63</v>
      </c>
      <c r="F67" t="s">
        <v>35</v>
      </c>
      <c r="G67" t="s">
        <v>38</v>
      </c>
      <c r="H67" t="s">
        <v>16</v>
      </c>
      <c r="I67">
        <v>2317</v>
      </c>
      <c r="J67">
        <v>261</v>
      </c>
      <c r="K67" s="4">
        <v>44989</v>
      </c>
    </row>
    <row r="68" spans="5:11" x14ac:dyDescent="0.25">
      <c r="E68">
        <v>64</v>
      </c>
      <c r="F68" t="s">
        <v>32</v>
      </c>
      <c r="G68" t="s">
        <v>37</v>
      </c>
      <c r="H68" t="s">
        <v>9</v>
      </c>
      <c r="I68">
        <v>938</v>
      </c>
      <c r="J68">
        <v>6</v>
      </c>
      <c r="K68" s="4">
        <v>44990</v>
      </c>
    </row>
    <row r="69" spans="5:11" x14ac:dyDescent="0.25">
      <c r="E69">
        <v>65</v>
      </c>
      <c r="F69" t="s">
        <v>29</v>
      </c>
      <c r="G69" t="s">
        <v>40</v>
      </c>
      <c r="H69" t="s">
        <v>8</v>
      </c>
      <c r="I69">
        <v>9709</v>
      </c>
      <c r="J69">
        <v>30</v>
      </c>
      <c r="K69" s="4">
        <v>44991</v>
      </c>
    </row>
    <row r="70" spans="5:11" x14ac:dyDescent="0.25">
      <c r="E70">
        <v>66</v>
      </c>
      <c r="F70" t="s">
        <v>31</v>
      </c>
      <c r="G70" t="s">
        <v>39</v>
      </c>
      <c r="H70" t="s">
        <v>13</v>
      </c>
      <c r="I70">
        <v>2205</v>
      </c>
      <c r="J70">
        <v>138</v>
      </c>
      <c r="K70" s="4">
        <v>44992</v>
      </c>
    </row>
    <row r="71" spans="5:11" x14ac:dyDescent="0.25">
      <c r="E71">
        <v>67</v>
      </c>
      <c r="F71" t="s">
        <v>31</v>
      </c>
      <c r="G71" t="s">
        <v>40</v>
      </c>
      <c r="H71" t="s">
        <v>10</v>
      </c>
      <c r="I71">
        <v>4487</v>
      </c>
      <c r="J71">
        <v>111</v>
      </c>
      <c r="K71" s="4">
        <v>44993</v>
      </c>
    </row>
    <row r="72" spans="5:11" x14ac:dyDescent="0.25">
      <c r="E72">
        <v>68</v>
      </c>
      <c r="F72" t="s">
        <v>33</v>
      </c>
      <c r="G72" t="s">
        <v>45</v>
      </c>
      <c r="H72" t="s">
        <v>11</v>
      </c>
      <c r="I72">
        <v>2415</v>
      </c>
      <c r="J72">
        <v>15</v>
      </c>
      <c r="K72" s="4">
        <v>44994</v>
      </c>
    </row>
    <row r="73" spans="5:11" x14ac:dyDescent="0.25">
      <c r="E73">
        <v>69</v>
      </c>
      <c r="F73" t="s">
        <v>36</v>
      </c>
      <c r="G73" t="s">
        <v>39</v>
      </c>
      <c r="H73" t="s">
        <v>12</v>
      </c>
      <c r="I73">
        <v>4018</v>
      </c>
      <c r="J73">
        <v>162</v>
      </c>
      <c r="K73" s="4">
        <v>44995</v>
      </c>
    </row>
    <row r="74" spans="5:11" x14ac:dyDescent="0.25">
      <c r="E74">
        <v>70</v>
      </c>
      <c r="F74" t="s">
        <v>33</v>
      </c>
      <c r="G74" t="s">
        <v>39</v>
      </c>
      <c r="H74" t="s">
        <v>12</v>
      </c>
      <c r="I74">
        <v>861</v>
      </c>
      <c r="J74">
        <v>195</v>
      </c>
      <c r="K74" s="4">
        <v>44996</v>
      </c>
    </row>
    <row r="75" spans="5:11" x14ac:dyDescent="0.25">
      <c r="E75">
        <v>71</v>
      </c>
      <c r="F75" t="s">
        <v>35</v>
      </c>
      <c r="G75" t="s">
        <v>37</v>
      </c>
      <c r="H75" t="s">
        <v>7</v>
      </c>
      <c r="I75">
        <v>5586</v>
      </c>
      <c r="J75">
        <v>525</v>
      </c>
      <c r="K75" s="4">
        <v>44997</v>
      </c>
    </row>
    <row r="76" spans="5:11" x14ac:dyDescent="0.25">
      <c r="E76">
        <v>72</v>
      </c>
      <c r="F76" t="s">
        <v>31</v>
      </c>
      <c r="G76" t="s">
        <v>39</v>
      </c>
      <c r="H76" t="s">
        <v>26</v>
      </c>
      <c r="I76">
        <v>2226</v>
      </c>
      <c r="J76">
        <v>48</v>
      </c>
      <c r="K76" s="4">
        <v>44998</v>
      </c>
    </row>
    <row r="77" spans="5:11" x14ac:dyDescent="0.25">
      <c r="E77">
        <v>73</v>
      </c>
      <c r="F77" t="s">
        <v>3</v>
      </c>
      <c r="G77" t="s">
        <v>39</v>
      </c>
      <c r="H77" t="s">
        <v>21</v>
      </c>
      <c r="I77">
        <v>14329</v>
      </c>
      <c r="J77">
        <v>150</v>
      </c>
      <c r="K77" s="4">
        <v>44999</v>
      </c>
    </row>
    <row r="78" spans="5:11" x14ac:dyDescent="0.25">
      <c r="E78">
        <v>74</v>
      </c>
      <c r="F78" t="s">
        <v>3</v>
      </c>
      <c r="G78" t="s">
        <v>39</v>
      </c>
      <c r="H78" t="s">
        <v>13</v>
      </c>
      <c r="I78">
        <v>8463</v>
      </c>
      <c r="J78">
        <v>492</v>
      </c>
      <c r="K78" s="4">
        <v>45000</v>
      </c>
    </row>
    <row r="79" spans="5:11" x14ac:dyDescent="0.25">
      <c r="E79">
        <v>75</v>
      </c>
      <c r="F79" t="s">
        <v>33</v>
      </c>
      <c r="G79" t="s">
        <v>39</v>
      </c>
      <c r="H79" t="s">
        <v>22</v>
      </c>
      <c r="I79">
        <v>2891</v>
      </c>
      <c r="J79">
        <v>102</v>
      </c>
      <c r="K79" s="4">
        <v>45001</v>
      </c>
    </row>
    <row r="80" spans="5:11" x14ac:dyDescent="0.25">
      <c r="E80">
        <v>76</v>
      </c>
      <c r="F80" t="s">
        <v>34</v>
      </c>
      <c r="G80" t="s">
        <v>38</v>
      </c>
      <c r="H80" t="s">
        <v>16</v>
      </c>
      <c r="I80">
        <v>3773</v>
      </c>
      <c r="J80">
        <v>165</v>
      </c>
      <c r="K80" s="4">
        <v>45002</v>
      </c>
    </row>
    <row r="81" spans="5:11" x14ac:dyDescent="0.25">
      <c r="E81">
        <v>77</v>
      </c>
      <c r="F81" t="s">
        <v>30</v>
      </c>
      <c r="G81" t="s">
        <v>38</v>
      </c>
      <c r="H81" t="s">
        <v>21</v>
      </c>
      <c r="I81">
        <v>854</v>
      </c>
      <c r="J81">
        <v>309</v>
      </c>
      <c r="K81" s="4">
        <v>45003</v>
      </c>
    </row>
    <row r="82" spans="5:11" x14ac:dyDescent="0.25">
      <c r="E82">
        <v>78</v>
      </c>
      <c r="F82" t="s">
        <v>32</v>
      </c>
      <c r="G82" t="s">
        <v>38</v>
      </c>
      <c r="H82" t="s">
        <v>10</v>
      </c>
      <c r="I82">
        <v>4970</v>
      </c>
      <c r="J82">
        <v>156</v>
      </c>
      <c r="K82" s="4">
        <v>45004</v>
      </c>
    </row>
    <row r="83" spans="5:11" x14ac:dyDescent="0.25">
      <c r="E83">
        <v>79</v>
      </c>
      <c r="F83" t="s">
        <v>3</v>
      </c>
      <c r="G83" t="s">
        <v>45</v>
      </c>
      <c r="H83" t="s">
        <v>19</v>
      </c>
      <c r="I83">
        <v>98</v>
      </c>
      <c r="J83">
        <v>159</v>
      </c>
      <c r="K83" s="4">
        <v>45005</v>
      </c>
    </row>
    <row r="84" spans="5:11" x14ac:dyDescent="0.25">
      <c r="E84">
        <v>80</v>
      </c>
      <c r="F84" t="s">
        <v>33</v>
      </c>
      <c r="G84" t="s">
        <v>45</v>
      </c>
      <c r="H84" t="s">
        <v>8</v>
      </c>
      <c r="I84">
        <v>13391</v>
      </c>
      <c r="J84">
        <v>201</v>
      </c>
      <c r="K84" s="4">
        <v>45006</v>
      </c>
    </row>
    <row r="85" spans="5:11" x14ac:dyDescent="0.25">
      <c r="E85">
        <v>81</v>
      </c>
      <c r="F85" t="s">
        <v>29</v>
      </c>
      <c r="G85" t="s">
        <v>44</v>
      </c>
      <c r="H85" t="s">
        <v>24</v>
      </c>
      <c r="I85">
        <v>8890</v>
      </c>
      <c r="J85">
        <v>210</v>
      </c>
      <c r="K85" s="4">
        <v>45007</v>
      </c>
    </row>
    <row r="86" spans="5:11" x14ac:dyDescent="0.25">
      <c r="E86">
        <v>82</v>
      </c>
      <c r="F86" t="s">
        <v>28</v>
      </c>
      <c r="G86" t="s">
        <v>37</v>
      </c>
      <c r="H86" t="s">
        <v>6</v>
      </c>
      <c r="I86">
        <v>56</v>
      </c>
      <c r="J86">
        <v>51</v>
      </c>
      <c r="K86" s="4">
        <v>45008</v>
      </c>
    </row>
    <row r="87" spans="5:11" x14ac:dyDescent="0.25">
      <c r="E87">
        <v>83</v>
      </c>
      <c r="F87" t="s">
        <v>34</v>
      </c>
      <c r="G87" t="s">
        <v>38</v>
      </c>
      <c r="H87" t="s">
        <v>18</v>
      </c>
      <c r="I87">
        <v>3339</v>
      </c>
      <c r="J87">
        <v>39</v>
      </c>
      <c r="K87" s="4">
        <v>45009</v>
      </c>
    </row>
    <row r="88" spans="5:11" x14ac:dyDescent="0.25">
      <c r="E88">
        <v>84</v>
      </c>
      <c r="F88" t="s">
        <v>35</v>
      </c>
      <c r="G88" t="s">
        <v>45</v>
      </c>
      <c r="H88" t="s">
        <v>11</v>
      </c>
      <c r="I88">
        <v>3808</v>
      </c>
      <c r="J88">
        <v>279</v>
      </c>
      <c r="K88" s="4">
        <v>45010</v>
      </c>
    </row>
    <row r="89" spans="5:11" x14ac:dyDescent="0.25">
      <c r="E89">
        <v>85</v>
      </c>
      <c r="F89" t="s">
        <v>35</v>
      </c>
      <c r="G89" t="s">
        <v>37</v>
      </c>
      <c r="H89" t="s">
        <v>6</v>
      </c>
      <c r="I89">
        <v>63</v>
      </c>
      <c r="J89">
        <v>123</v>
      </c>
      <c r="K89" s="4">
        <v>45011</v>
      </c>
    </row>
    <row r="90" spans="5:11" x14ac:dyDescent="0.25">
      <c r="E90">
        <v>86</v>
      </c>
      <c r="F90" t="s">
        <v>28</v>
      </c>
      <c r="G90" t="s">
        <v>44</v>
      </c>
      <c r="H90" t="s">
        <v>20</v>
      </c>
      <c r="I90">
        <v>7812</v>
      </c>
      <c r="J90">
        <v>81</v>
      </c>
      <c r="K90" s="4">
        <v>45012</v>
      </c>
    </row>
    <row r="91" spans="5:11" x14ac:dyDescent="0.25">
      <c r="E91">
        <v>87</v>
      </c>
      <c r="F91" t="s">
        <v>36</v>
      </c>
      <c r="G91" t="s">
        <v>40</v>
      </c>
      <c r="H91" t="s">
        <v>12</v>
      </c>
      <c r="I91">
        <v>7693</v>
      </c>
      <c r="J91">
        <v>21</v>
      </c>
      <c r="K91" s="4">
        <v>45013</v>
      </c>
    </row>
    <row r="92" spans="5:11" x14ac:dyDescent="0.25">
      <c r="E92">
        <v>88</v>
      </c>
      <c r="F92" t="s">
        <v>34</v>
      </c>
      <c r="G92" t="s">
        <v>38</v>
      </c>
      <c r="H92" t="s">
        <v>21</v>
      </c>
      <c r="I92">
        <v>973</v>
      </c>
      <c r="J92">
        <v>162</v>
      </c>
      <c r="K92" s="4">
        <v>45014</v>
      </c>
    </row>
    <row r="93" spans="5:11" x14ac:dyDescent="0.25">
      <c r="E93">
        <v>89</v>
      </c>
      <c r="F93" t="s">
        <v>35</v>
      </c>
      <c r="G93" t="s">
        <v>45</v>
      </c>
      <c r="H93" t="s">
        <v>14</v>
      </c>
      <c r="I93">
        <v>567</v>
      </c>
      <c r="J93">
        <v>228</v>
      </c>
      <c r="K93" s="4">
        <v>45015</v>
      </c>
    </row>
    <row r="94" spans="5:11" x14ac:dyDescent="0.25">
      <c r="E94">
        <v>90</v>
      </c>
      <c r="F94" t="s">
        <v>35</v>
      </c>
      <c r="G94" t="s">
        <v>38</v>
      </c>
      <c r="H94" t="s">
        <v>22</v>
      </c>
      <c r="I94">
        <v>2471</v>
      </c>
      <c r="J94">
        <v>342</v>
      </c>
      <c r="K94" s="4">
        <v>45016</v>
      </c>
    </row>
    <row r="95" spans="5:11" x14ac:dyDescent="0.25">
      <c r="E95">
        <v>91</v>
      </c>
      <c r="F95" t="s">
        <v>33</v>
      </c>
      <c r="G95" t="s">
        <v>37</v>
      </c>
      <c r="H95" t="s">
        <v>6</v>
      </c>
      <c r="I95">
        <v>7189</v>
      </c>
      <c r="J95">
        <v>54</v>
      </c>
      <c r="K95" s="4">
        <v>45017</v>
      </c>
    </row>
    <row r="96" spans="5:11" x14ac:dyDescent="0.25">
      <c r="E96">
        <v>92</v>
      </c>
      <c r="F96" t="s">
        <v>30</v>
      </c>
      <c r="G96" t="s">
        <v>45</v>
      </c>
      <c r="H96" t="s">
        <v>21</v>
      </c>
      <c r="I96">
        <v>7455</v>
      </c>
      <c r="J96">
        <v>216</v>
      </c>
      <c r="K96" s="4">
        <v>45018</v>
      </c>
    </row>
    <row r="97" spans="5:11" x14ac:dyDescent="0.25">
      <c r="E97">
        <v>93</v>
      </c>
      <c r="F97" t="s">
        <v>34</v>
      </c>
      <c r="G97" t="s">
        <v>39</v>
      </c>
      <c r="H97" t="s">
        <v>19</v>
      </c>
      <c r="I97">
        <v>3108</v>
      </c>
      <c r="J97">
        <v>54</v>
      </c>
      <c r="K97" s="4">
        <v>45019</v>
      </c>
    </row>
    <row r="98" spans="5:11" x14ac:dyDescent="0.25">
      <c r="E98">
        <v>94</v>
      </c>
      <c r="F98" t="s">
        <v>32</v>
      </c>
      <c r="G98" t="s">
        <v>37</v>
      </c>
      <c r="H98" t="s">
        <v>18</v>
      </c>
      <c r="I98">
        <v>469</v>
      </c>
      <c r="J98">
        <v>75</v>
      </c>
      <c r="K98" s="4">
        <v>45020</v>
      </c>
    </row>
    <row r="99" spans="5:11" x14ac:dyDescent="0.25">
      <c r="E99">
        <v>95</v>
      </c>
      <c r="F99" t="s">
        <v>3</v>
      </c>
      <c r="G99" t="s">
        <v>40</v>
      </c>
      <c r="H99" t="s">
        <v>16</v>
      </c>
      <c r="I99">
        <v>2737</v>
      </c>
      <c r="J99">
        <v>93</v>
      </c>
      <c r="K99" s="4">
        <v>45021</v>
      </c>
    </row>
    <row r="100" spans="5:11" x14ac:dyDescent="0.25">
      <c r="E100">
        <v>96</v>
      </c>
      <c r="F100" t="s">
        <v>3</v>
      </c>
      <c r="G100" t="s">
        <v>40</v>
      </c>
      <c r="H100" t="s">
        <v>18</v>
      </c>
      <c r="I100">
        <v>4305</v>
      </c>
      <c r="J100">
        <v>156</v>
      </c>
      <c r="K100" s="4">
        <v>45022</v>
      </c>
    </row>
    <row r="101" spans="5:11" x14ac:dyDescent="0.25">
      <c r="E101">
        <v>97</v>
      </c>
      <c r="F101" t="s">
        <v>3</v>
      </c>
      <c r="G101" t="s">
        <v>37</v>
      </c>
      <c r="H101" t="s">
        <v>10</v>
      </c>
      <c r="I101">
        <v>2408</v>
      </c>
      <c r="J101">
        <v>9</v>
      </c>
      <c r="K101" s="4">
        <v>45023</v>
      </c>
    </row>
    <row r="102" spans="5:11" x14ac:dyDescent="0.25">
      <c r="E102">
        <v>98</v>
      </c>
      <c r="F102" t="s">
        <v>34</v>
      </c>
      <c r="G102" t="s">
        <v>38</v>
      </c>
      <c r="H102" t="s">
        <v>12</v>
      </c>
      <c r="I102">
        <v>1281</v>
      </c>
      <c r="J102">
        <v>18</v>
      </c>
      <c r="K102" s="4">
        <v>45024</v>
      </c>
    </row>
    <row r="103" spans="5:11" x14ac:dyDescent="0.25">
      <c r="E103">
        <v>99</v>
      </c>
      <c r="F103" t="s">
        <v>36</v>
      </c>
      <c r="G103" t="s">
        <v>45</v>
      </c>
      <c r="H103" t="s">
        <v>25</v>
      </c>
      <c r="I103">
        <v>12348</v>
      </c>
      <c r="J103">
        <v>234</v>
      </c>
      <c r="K103" s="4">
        <v>45025</v>
      </c>
    </row>
    <row r="104" spans="5:11" x14ac:dyDescent="0.25">
      <c r="E104">
        <v>100</v>
      </c>
      <c r="F104" t="s">
        <v>34</v>
      </c>
      <c r="G104" t="s">
        <v>39</v>
      </c>
      <c r="H104" t="s">
        <v>21</v>
      </c>
      <c r="I104">
        <v>3689</v>
      </c>
      <c r="J104">
        <v>312</v>
      </c>
      <c r="K104" s="4">
        <v>45026</v>
      </c>
    </row>
    <row r="105" spans="5:11" x14ac:dyDescent="0.25">
      <c r="E105">
        <v>101</v>
      </c>
      <c r="F105" t="s">
        <v>31</v>
      </c>
      <c r="G105" t="s">
        <v>38</v>
      </c>
      <c r="H105" t="s">
        <v>12</v>
      </c>
      <c r="I105">
        <v>2870</v>
      </c>
      <c r="J105">
        <v>300</v>
      </c>
      <c r="K105" s="4">
        <v>45027</v>
      </c>
    </row>
    <row r="106" spans="5:11" x14ac:dyDescent="0.25">
      <c r="E106">
        <v>102</v>
      </c>
      <c r="F106" t="s">
        <v>28</v>
      </c>
      <c r="G106" t="s">
        <v>38</v>
      </c>
      <c r="H106" t="s">
        <v>20</v>
      </c>
      <c r="I106">
        <v>798</v>
      </c>
      <c r="J106">
        <v>519</v>
      </c>
      <c r="K106" s="4">
        <v>45028</v>
      </c>
    </row>
    <row r="107" spans="5:11" x14ac:dyDescent="0.25">
      <c r="E107">
        <v>103</v>
      </c>
      <c r="F107" t="s">
        <v>30</v>
      </c>
      <c r="G107" t="s">
        <v>40</v>
      </c>
      <c r="H107" t="s">
        <v>14</v>
      </c>
      <c r="I107">
        <v>2933</v>
      </c>
      <c r="J107">
        <v>9</v>
      </c>
      <c r="K107" s="4">
        <v>45029</v>
      </c>
    </row>
    <row r="108" spans="5:11" x14ac:dyDescent="0.25">
      <c r="E108">
        <v>104</v>
      </c>
      <c r="F108" t="s">
        <v>33</v>
      </c>
      <c r="G108" t="s">
        <v>45</v>
      </c>
      <c r="H108" t="s">
        <v>2</v>
      </c>
      <c r="I108">
        <v>2744</v>
      </c>
      <c r="J108">
        <v>9</v>
      </c>
      <c r="K108" s="4">
        <v>45030</v>
      </c>
    </row>
    <row r="109" spans="5:11" x14ac:dyDescent="0.25">
      <c r="E109">
        <v>105</v>
      </c>
      <c r="F109" t="s">
        <v>36</v>
      </c>
      <c r="G109" t="s">
        <v>38</v>
      </c>
      <c r="H109" t="s">
        <v>26</v>
      </c>
      <c r="I109">
        <v>9772</v>
      </c>
      <c r="J109">
        <v>90</v>
      </c>
      <c r="K109" s="4">
        <v>45031</v>
      </c>
    </row>
    <row r="110" spans="5:11" x14ac:dyDescent="0.25">
      <c r="E110">
        <v>106</v>
      </c>
      <c r="F110" t="s">
        <v>31</v>
      </c>
      <c r="G110" t="s">
        <v>39</v>
      </c>
      <c r="H110" t="s">
        <v>18</v>
      </c>
      <c r="I110">
        <v>1568</v>
      </c>
      <c r="J110">
        <v>96</v>
      </c>
      <c r="K110" s="4">
        <v>45032</v>
      </c>
    </row>
    <row r="111" spans="5:11" x14ac:dyDescent="0.25">
      <c r="E111">
        <v>107</v>
      </c>
      <c r="F111" t="s">
        <v>28</v>
      </c>
      <c r="G111" t="s">
        <v>38</v>
      </c>
      <c r="H111" t="s">
        <v>9</v>
      </c>
      <c r="I111">
        <v>11417</v>
      </c>
      <c r="J111">
        <v>21</v>
      </c>
      <c r="K111" s="4">
        <v>45033</v>
      </c>
    </row>
    <row r="112" spans="5:11" x14ac:dyDescent="0.25">
      <c r="E112">
        <v>108</v>
      </c>
      <c r="F112" t="s">
        <v>36</v>
      </c>
      <c r="G112" t="s">
        <v>39</v>
      </c>
      <c r="H112" t="s">
        <v>19</v>
      </c>
      <c r="I112">
        <v>6748</v>
      </c>
      <c r="J112">
        <v>48</v>
      </c>
      <c r="K112" s="4">
        <v>45034</v>
      </c>
    </row>
    <row r="113" spans="5:11" x14ac:dyDescent="0.25">
      <c r="E113">
        <v>109</v>
      </c>
      <c r="F113" t="s">
        <v>35</v>
      </c>
      <c r="G113" t="s">
        <v>38</v>
      </c>
      <c r="H113" t="s">
        <v>20</v>
      </c>
      <c r="I113">
        <v>1407</v>
      </c>
      <c r="J113">
        <v>72</v>
      </c>
      <c r="K113" s="4">
        <v>45035</v>
      </c>
    </row>
    <row r="114" spans="5:11" x14ac:dyDescent="0.25">
      <c r="E114">
        <v>110</v>
      </c>
      <c r="F114" t="s">
        <v>29</v>
      </c>
      <c r="G114" t="s">
        <v>45</v>
      </c>
      <c r="H114" t="s">
        <v>22</v>
      </c>
      <c r="I114">
        <v>2023</v>
      </c>
      <c r="J114">
        <v>168</v>
      </c>
      <c r="K114" s="4">
        <v>45036</v>
      </c>
    </row>
    <row r="115" spans="5:11" x14ac:dyDescent="0.25">
      <c r="E115">
        <v>111</v>
      </c>
      <c r="F115" t="s">
        <v>33</v>
      </c>
      <c r="G115" t="s">
        <v>44</v>
      </c>
      <c r="H115" t="s">
        <v>19</v>
      </c>
      <c r="I115">
        <v>5236</v>
      </c>
      <c r="J115">
        <v>51</v>
      </c>
      <c r="K115" s="4">
        <v>45037</v>
      </c>
    </row>
    <row r="116" spans="5:11" x14ac:dyDescent="0.25">
      <c r="E116">
        <v>112</v>
      </c>
      <c r="F116" t="s">
        <v>30</v>
      </c>
      <c r="G116" t="s">
        <v>38</v>
      </c>
      <c r="H116" t="s">
        <v>12</v>
      </c>
      <c r="I116">
        <v>1925</v>
      </c>
      <c r="J116">
        <v>192</v>
      </c>
      <c r="K116" s="4">
        <v>45038</v>
      </c>
    </row>
    <row r="117" spans="5:11" x14ac:dyDescent="0.25">
      <c r="E117">
        <v>113</v>
      </c>
      <c r="F117" t="s">
        <v>31</v>
      </c>
      <c r="G117" t="s">
        <v>40</v>
      </c>
      <c r="H117" t="s">
        <v>7</v>
      </c>
      <c r="I117">
        <v>6608</v>
      </c>
      <c r="J117">
        <v>225</v>
      </c>
      <c r="K117" s="4">
        <v>45039</v>
      </c>
    </row>
    <row r="118" spans="5:11" x14ac:dyDescent="0.25">
      <c r="E118">
        <v>114</v>
      </c>
      <c r="F118" t="s">
        <v>32</v>
      </c>
      <c r="G118" t="s">
        <v>39</v>
      </c>
      <c r="H118" t="s">
        <v>19</v>
      </c>
      <c r="I118">
        <v>8008</v>
      </c>
      <c r="J118">
        <v>456</v>
      </c>
      <c r="K118" s="4">
        <v>45040</v>
      </c>
    </row>
    <row r="119" spans="5:11" x14ac:dyDescent="0.25">
      <c r="E119">
        <v>115</v>
      </c>
      <c r="F119" t="s">
        <v>35</v>
      </c>
      <c r="G119" t="s">
        <v>39</v>
      </c>
      <c r="H119" t="s">
        <v>18</v>
      </c>
      <c r="I119">
        <v>1428</v>
      </c>
      <c r="J119">
        <v>93</v>
      </c>
      <c r="K119" s="4">
        <v>45041</v>
      </c>
    </row>
    <row r="120" spans="5:11" x14ac:dyDescent="0.25">
      <c r="E120">
        <v>116</v>
      </c>
      <c r="F120" t="s">
        <v>32</v>
      </c>
      <c r="G120" t="s">
        <v>39</v>
      </c>
      <c r="H120" t="s">
        <v>2</v>
      </c>
      <c r="I120">
        <v>525</v>
      </c>
      <c r="J120">
        <v>48</v>
      </c>
      <c r="K120" s="4">
        <v>45042</v>
      </c>
    </row>
    <row r="121" spans="5:11" x14ac:dyDescent="0.25">
      <c r="E121">
        <v>117</v>
      </c>
      <c r="F121" t="s">
        <v>32</v>
      </c>
      <c r="G121" t="s">
        <v>40</v>
      </c>
      <c r="H121" t="s">
        <v>11</v>
      </c>
      <c r="I121">
        <v>1505</v>
      </c>
      <c r="J121">
        <v>102</v>
      </c>
      <c r="K121" s="4">
        <v>45043</v>
      </c>
    </row>
    <row r="122" spans="5:11" x14ac:dyDescent="0.25">
      <c r="E122">
        <v>118</v>
      </c>
      <c r="F122" t="s">
        <v>31</v>
      </c>
      <c r="G122" t="s">
        <v>45</v>
      </c>
      <c r="H122" t="s">
        <v>23</v>
      </c>
      <c r="I122">
        <v>6755</v>
      </c>
      <c r="J122">
        <v>252</v>
      </c>
      <c r="K122" s="4">
        <v>45044</v>
      </c>
    </row>
    <row r="123" spans="5:11" x14ac:dyDescent="0.25">
      <c r="E123">
        <v>119</v>
      </c>
      <c r="F123" t="s">
        <v>28</v>
      </c>
      <c r="G123" t="s">
        <v>40</v>
      </c>
      <c r="H123" t="s">
        <v>11</v>
      </c>
      <c r="I123">
        <v>11571</v>
      </c>
      <c r="J123">
        <v>138</v>
      </c>
      <c r="K123" s="4">
        <v>45045</v>
      </c>
    </row>
    <row r="124" spans="5:11" x14ac:dyDescent="0.25">
      <c r="E124">
        <v>120</v>
      </c>
      <c r="F124" t="s">
        <v>36</v>
      </c>
      <c r="G124" t="s">
        <v>37</v>
      </c>
      <c r="H124" t="s">
        <v>18</v>
      </c>
      <c r="I124">
        <v>2541</v>
      </c>
      <c r="J124">
        <v>90</v>
      </c>
      <c r="K124" s="4">
        <v>45046</v>
      </c>
    </row>
    <row r="125" spans="5:11" x14ac:dyDescent="0.25">
      <c r="E125">
        <v>121</v>
      </c>
      <c r="F125" t="s">
        <v>30</v>
      </c>
      <c r="G125" t="s">
        <v>40</v>
      </c>
      <c r="H125" t="s">
        <v>23</v>
      </c>
      <c r="I125">
        <v>1526</v>
      </c>
      <c r="J125">
        <v>240</v>
      </c>
      <c r="K125" s="4">
        <v>45047</v>
      </c>
    </row>
    <row r="126" spans="5:11" x14ac:dyDescent="0.25">
      <c r="E126">
        <v>122</v>
      </c>
      <c r="F126" t="s">
        <v>36</v>
      </c>
      <c r="G126" t="s">
        <v>37</v>
      </c>
      <c r="H126" t="s">
        <v>2</v>
      </c>
      <c r="I126">
        <v>6125</v>
      </c>
      <c r="J126">
        <v>102</v>
      </c>
      <c r="K126" s="4">
        <v>45048</v>
      </c>
    </row>
    <row r="127" spans="5:11" x14ac:dyDescent="0.25">
      <c r="E127">
        <v>123</v>
      </c>
      <c r="F127" t="s">
        <v>30</v>
      </c>
      <c r="G127" t="s">
        <v>45</v>
      </c>
      <c r="H127" t="s">
        <v>20</v>
      </c>
      <c r="I127">
        <v>847</v>
      </c>
      <c r="J127">
        <v>129</v>
      </c>
      <c r="K127" s="4">
        <v>45049</v>
      </c>
    </row>
    <row r="128" spans="5:11" x14ac:dyDescent="0.25">
      <c r="E128">
        <v>124</v>
      </c>
      <c r="F128" t="s">
        <v>29</v>
      </c>
      <c r="G128" t="s">
        <v>45</v>
      </c>
      <c r="H128" t="s">
        <v>20</v>
      </c>
      <c r="I128">
        <v>4753</v>
      </c>
      <c r="J128">
        <v>300</v>
      </c>
      <c r="K128" s="4">
        <v>45050</v>
      </c>
    </row>
    <row r="129" spans="5:11" x14ac:dyDescent="0.25">
      <c r="E129">
        <v>125</v>
      </c>
      <c r="F129" t="s">
        <v>32</v>
      </c>
      <c r="G129" t="s">
        <v>37</v>
      </c>
      <c r="H129" t="s">
        <v>26</v>
      </c>
      <c r="I129">
        <v>959</v>
      </c>
      <c r="J129">
        <v>135</v>
      </c>
      <c r="K129" s="4">
        <v>45051</v>
      </c>
    </row>
    <row r="130" spans="5:11" x14ac:dyDescent="0.25">
      <c r="E130">
        <v>126</v>
      </c>
      <c r="F130" t="s">
        <v>31</v>
      </c>
      <c r="G130" t="s">
        <v>45</v>
      </c>
      <c r="H130" t="s">
        <v>17</v>
      </c>
      <c r="I130">
        <v>2793</v>
      </c>
      <c r="J130">
        <v>114</v>
      </c>
      <c r="K130" s="4">
        <v>45052</v>
      </c>
    </row>
    <row r="131" spans="5:11" x14ac:dyDescent="0.25">
      <c r="E131">
        <v>127</v>
      </c>
      <c r="F131" t="s">
        <v>31</v>
      </c>
      <c r="G131" t="s">
        <v>45</v>
      </c>
      <c r="H131" t="s">
        <v>7</v>
      </c>
      <c r="I131">
        <v>4606</v>
      </c>
      <c r="J131">
        <v>63</v>
      </c>
      <c r="K131" s="4">
        <v>45053</v>
      </c>
    </row>
    <row r="132" spans="5:11" x14ac:dyDescent="0.25">
      <c r="E132">
        <v>128</v>
      </c>
      <c r="F132" t="s">
        <v>31</v>
      </c>
      <c r="G132" t="s">
        <v>38</v>
      </c>
      <c r="H132" t="s">
        <v>22</v>
      </c>
      <c r="I132">
        <v>5551</v>
      </c>
      <c r="J132">
        <v>252</v>
      </c>
      <c r="K132" s="4">
        <v>45054</v>
      </c>
    </row>
    <row r="133" spans="5:11" x14ac:dyDescent="0.25">
      <c r="E133">
        <v>129</v>
      </c>
      <c r="F133" t="s">
        <v>35</v>
      </c>
      <c r="G133" t="s">
        <v>38</v>
      </c>
      <c r="H133" t="s">
        <v>25</v>
      </c>
      <c r="I133">
        <v>6657</v>
      </c>
      <c r="J133">
        <v>303</v>
      </c>
      <c r="K133" s="4">
        <v>45055</v>
      </c>
    </row>
    <row r="134" spans="5:11" x14ac:dyDescent="0.25">
      <c r="E134">
        <v>130</v>
      </c>
      <c r="F134" t="s">
        <v>31</v>
      </c>
      <c r="G134" t="s">
        <v>44</v>
      </c>
      <c r="H134" t="s">
        <v>10</v>
      </c>
      <c r="I134">
        <v>4438</v>
      </c>
      <c r="J134">
        <v>246</v>
      </c>
      <c r="K134" s="4">
        <v>45056</v>
      </c>
    </row>
    <row r="135" spans="5:11" x14ac:dyDescent="0.25">
      <c r="E135">
        <v>131</v>
      </c>
      <c r="F135" t="s">
        <v>29</v>
      </c>
      <c r="G135" t="s">
        <v>37</v>
      </c>
      <c r="H135" t="s">
        <v>15</v>
      </c>
      <c r="I135">
        <v>168</v>
      </c>
      <c r="J135">
        <v>84</v>
      </c>
      <c r="K135" s="4">
        <v>45057</v>
      </c>
    </row>
    <row r="136" spans="5:11" x14ac:dyDescent="0.25">
      <c r="E136">
        <v>132</v>
      </c>
      <c r="F136" t="s">
        <v>31</v>
      </c>
      <c r="G136" t="s">
        <v>39</v>
      </c>
      <c r="H136" t="s">
        <v>10</v>
      </c>
      <c r="I136">
        <v>7777</v>
      </c>
      <c r="J136">
        <v>39</v>
      </c>
      <c r="K136" s="4">
        <v>45058</v>
      </c>
    </row>
    <row r="137" spans="5:11" x14ac:dyDescent="0.25">
      <c r="E137">
        <v>133</v>
      </c>
      <c r="F137" t="s">
        <v>33</v>
      </c>
      <c r="G137" t="s">
        <v>38</v>
      </c>
      <c r="H137" t="s">
        <v>10</v>
      </c>
      <c r="I137">
        <v>3339</v>
      </c>
      <c r="J137">
        <v>348</v>
      </c>
      <c r="K137" s="4">
        <v>45059</v>
      </c>
    </row>
    <row r="138" spans="5:11" x14ac:dyDescent="0.25">
      <c r="E138">
        <v>134</v>
      </c>
      <c r="F138" t="s">
        <v>31</v>
      </c>
      <c r="G138" t="s">
        <v>40</v>
      </c>
      <c r="H138" t="s">
        <v>26</v>
      </c>
      <c r="I138">
        <v>6391</v>
      </c>
      <c r="J138">
        <v>48</v>
      </c>
      <c r="K138" s="4">
        <v>45060</v>
      </c>
    </row>
    <row r="139" spans="5:11" x14ac:dyDescent="0.25">
      <c r="E139">
        <v>135</v>
      </c>
      <c r="F139" t="s">
        <v>33</v>
      </c>
      <c r="G139" t="s">
        <v>40</v>
      </c>
      <c r="H139" t="s">
        <v>15</v>
      </c>
      <c r="I139">
        <v>518</v>
      </c>
      <c r="J139">
        <v>75</v>
      </c>
      <c r="K139" s="4">
        <v>45061</v>
      </c>
    </row>
    <row r="140" spans="5:11" x14ac:dyDescent="0.25">
      <c r="E140">
        <v>136</v>
      </c>
      <c r="F140" t="s">
        <v>31</v>
      </c>
      <c r="G140" t="s">
        <v>37</v>
      </c>
      <c r="H140" t="s">
        <v>21</v>
      </c>
      <c r="I140">
        <v>5677</v>
      </c>
      <c r="J140">
        <v>258</v>
      </c>
      <c r="K140" s="4">
        <v>45062</v>
      </c>
    </row>
    <row r="141" spans="5:11" x14ac:dyDescent="0.25">
      <c r="E141">
        <v>137</v>
      </c>
      <c r="F141" t="s">
        <v>32</v>
      </c>
      <c r="G141" t="s">
        <v>44</v>
      </c>
      <c r="H141" t="s">
        <v>10</v>
      </c>
      <c r="I141">
        <v>6048</v>
      </c>
      <c r="J141">
        <v>27</v>
      </c>
      <c r="K141" s="4">
        <v>45063</v>
      </c>
    </row>
    <row r="142" spans="5:11" x14ac:dyDescent="0.25">
      <c r="E142">
        <v>138</v>
      </c>
      <c r="F142" t="s">
        <v>29</v>
      </c>
      <c r="G142" t="s">
        <v>37</v>
      </c>
      <c r="H142" t="s">
        <v>25</v>
      </c>
      <c r="I142">
        <v>3752</v>
      </c>
      <c r="J142">
        <v>213</v>
      </c>
      <c r="K142" s="4">
        <v>45064</v>
      </c>
    </row>
    <row r="143" spans="5:11" x14ac:dyDescent="0.25">
      <c r="E143">
        <v>139</v>
      </c>
      <c r="F143" t="s">
        <v>33</v>
      </c>
      <c r="G143" t="s">
        <v>45</v>
      </c>
      <c r="H143" t="s">
        <v>22</v>
      </c>
      <c r="I143">
        <v>4480</v>
      </c>
      <c r="J143">
        <v>357</v>
      </c>
      <c r="K143" s="4">
        <v>45065</v>
      </c>
    </row>
    <row r="144" spans="5:11" x14ac:dyDescent="0.25">
      <c r="E144">
        <v>140</v>
      </c>
      <c r="F144" t="s">
        <v>3</v>
      </c>
      <c r="G144" t="s">
        <v>40</v>
      </c>
      <c r="H144" t="s">
        <v>2</v>
      </c>
      <c r="I144">
        <v>259</v>
      </c>
      <c r="J144">
        <v>207</v>
      </c>
      <c r="K144" s="4">
        <v>45066</v>
      </c>
    </row>
    <row r="145" spans="5:11" x14ac:dyDescent="0.25">
      <c r="E145">
        <v>141</v>
      </c>
      <c r="F145" t="s">
        <v>29</v>
      </c>
      <c r="G145" t="s">
        <v>40</v>
      </c>
      <c r="H145" t="s">
        <v>23</v>
      </c>
      <c r="I145">
        <v>42</v>
      </c>
      <c r="J145">
        <v>150</v>
      </c>
      <c r="K145" s="4">
        <v>45067</v>
      </c>
    </row>
    <row r="146" spans="5:11" x14ac:dyDescent="0.25">
      <c r="E146">
        <v>142</v>
      </c>
      <c r="F146" t="s">
        <v>30</v>
      </c>
      <c r="G146" t="s">
        <v>38</v>
      </c>
      <c r="H146" t="s">
        <v>19</v>
      </c>
      <c r="I146">
        <v>98</v>
      </c>
      <c r="J146">
        <v>204</v>
      </c>
      <c r="K146" s="4">
        <v>45068</v>
      </c>
    </row>
    <row r="147" spans="5:11" x14ac:dyDescent="0.25">
      <c r="E147">
        <v>143</v>
      </c>
      <c r="F147" t="s">
        <v>31</v>
      </c>
      <c r="G147" t="s">
        <v>45</v>
      </c>
      <c r="H147" t="s">
        <v>20</v>
      </c>
      <c r="I147">
        <v>2478</v>
      </c>
      <c r="J147">
        <v>21</v>
      </c>
      <c r="K147" s="4">
        <v>45069</v>
      </c>
    </row>
    <row r="148" spans="5:11" x14ac:dyDescent="0.25">
      <c r="E148">
        <v>144</v>
      </c>
      <c r="F148" t="s">
        <v>30</v>
      </c>
      <c r="G148" t="s">
        <v>39</v>
      </c>
      <c r="H148" t="s">
        <v>26</v>
      </c>
      <c r="I148">
        <v>7847</v>
      </c>
      <c r="J148">
        <v>174</v>
      </c>
      <c r="K148" s="4">
        <v>45070</v>
      </c>
    </row>
    <row r="149" spans="5:11" x14ac:dyDescent="0.25">
      <c r="E149">
        <v>145</v>
      </c>
      <c r="F149" t="s">
        <v>28</v>
      </c>
      <c r="G149" t="s">
        <v>40</v>
      </c>
      <c r="H149" t="s">
        <v>10</v>
      </c>
      <c r="I149">
        <v>9926</v>
      </c>
      <c r="J149">
        <v>201</v>
      </c>
      <c r="K149" s="4">
        <v>45071</v>
      </c>
    </row>
    <row r="150" spans="5:11" x14ac:dyDescent="0.25">
      <c r="E150">
        <v>146</v>
      </c>
      <c r="F150" t="s">
        <v>29</v>
      </c>
      <c r="G150" t="s">
        <v>37</v>
      </c>
      <c r="H150" t="s">
        <v>6</v>
      </c>
      <c r="I150">
        <v>819</v>
      </c>
      <c r="J150">
        <v>510</v>
      </c>
      <c r="K150" s="4">
        <v>45072</v>
      </c>
    </row>
    <row r="151" spans="5:11" x14ac:dyDescent="0.25">
      <c r="E151">
        <v>147</v>
      </c>
      <c r="F151" t="s">
        <v>32</v>
      </c>
      <c r="G151" t="s">
        <v>44</v>
      </c>
      <c r="H151" t="s">
        <v>22</v>
      </c>
      <c r="I151">
        <v>3052</v>
      </c>
      <c r="J151">
        <v>378</v>
      </c>
      <c r="K151" s="4">
        <v>45073</v>
      </c>
    </row>
    <row r="152" spans="5:11" x14ac:dyDescent="0.25">
      <c r="E152">
        <v>148</v>
      </c>
      <c r="F152" t="s">
        <v>3</v>
      </c>
      <c r="G152" t="s">
        <v>39</v>
      </c>
      <c r="H152" t="s">
        <v>14</v>
      </c>
      <c r="I152">
        <v>6832</v>
      </c>
      <c r="J152">
        <v>27</v>
      </c>
      <c r="K152" s="4">
        <v>45074</v>
      </c>
    </row>
    <row r="153" spans="5:11" x14ac:dyDescent="0.25">
      <c r="E153">
        <v>149</v>
      </c>
      <c r="F153" t="s">
        <v>28</v>
      </c>
      <c r="G153" t="s">
        <v>44</v>
      </c>
      <c r="H153" t="s">
        <v>9</v>
      </c>
      <c r="I153">
        <v>2016</v>
      </c>
      <c r="J153">
        <v>117</v>
      </c>
      <c r="K153" s="4">
        <v>45075</v>
      </c>
    </row>
    <row r="154" spans="5:11" x14ac:dyDescent="0.25">
      <c r="E154">
        <v>150</v>
      </c>
      <c r="F154" t="s">
        <v>32</v>
      </c>
      <c r="G154" t="s">
        <v>37</v>
      </c>
      <c r="H154" t="s">
        <v>14</v>
      </c>
      <c r="I154">
        <v>7322</v>
      </c>
      <c r="J154">
        <v>36</v>
      </c>
      <c r="K154" s="4">
        <v>45076</v>
      </c>
    </row>
    <row r="155" spans="5:11" x14ac:dyDescent="0.25">
      <c r="E155">
        <v>151</v>
      </c>
      <c r="F155" t="s">
        <v>29</v>
      </c>
      <c r="G155" t="s">
        <v>45</v>
      </c>
      <c r="H155" t="s">
        <v>26</v>
      </c>
      <c r="I155">
        <v>357</v>
      </c>
      <c r="J155">
        <v>126</v>
      </c>
      <c r="K155" s="4">
        <v>45077</v>
      </c>
    </row>
    <row r="156" spans="5:11" x14ac:dyDescent="0.25">
      <c r="E156">
        <v>152</v>
      </c>
      <c r="F156" t="s">
        <v>3</v>
      </c>
      <c r="G156" t="s">
        <v>44</v>
      </c>
      <c r="H156" t="s">
        <v>18</v>
      </c>
      <c r="I156">
        <v>3192</v>
      </c>
      <c r="J156">
        <v>72</v>
      </c>
      <c r="K156" s="4">
        <v>45078</v>
      </c>
    </row>
    <row r="157" spans="5:11" x14ac:dyDescent="0.25">
      <c r="E157">
        <v>153</v>
      </c>
      <c r="F157" t="s">
        <v>31</v>
      </c>
      <c r="G157" t="s">
        <v>38</v>
      </c>
      <c r="H157" t="s">
        <v>15</v>
      </c>
      <c r="I157">
        <v>8435</v>
      </c>
      <c r="J157">
        <v>42</v>
      </c>
      <c r="K157" s="4">
        <v>45079</v>
      </c>
    </row>
    <row r="158" spans="5:11" x14ac:dyDescent="0.25">
      <c r="E158">
        <v>154</v>
      </c>
      <c r="F158" t="s">
        <v>36</v>
      </c>
      <c r="G158" t="s">
        <v>44</v>
      </c>
      <c r="H158" t="s">
        <v>22</v>
      </c>
      <c r="I158">
        <v>0</v>
      </c>
      <c r="J158">
        <v>135</v>
      </c>
      <c r="K158" s="4">
        <v>45080</v>
      </c>
    </row>
    <row r="159" spans="5:11" x14ac:dyDescent="0.25">
      <c r="E159">
        <v>155</v>
      </c>
      <c r="F159" t="s">
        <v>31</v>
      </c>
      <c r="G159" t="s">
        <v>39</v>
      </c>
      <c r="H159" t="s">
        <v>17</v>
      </c>
      <c r="I159">
        <v>8862</v>
      </c>
      <c r="J159">
        <v>189</v>
      </c>
      <c r="K159" s="4">
        <v>45081</v>
      </c>
    </row>
    <row r="160" spans="5:11" x14ac:dyDescent="0.25">
      <c r="E160">
        <v>156</v>
      </c>
      <c r="F160" t="s">
        <v>32</v>
      </c>
      <c r="G160" t="s">
        <v>40</v>
      </c>
      <c r="H160" t="s">
        <v>21</v>
      </c>
      <c r="I160">
        <v>3556</v>
      </c>
      <c r="J160">
        <v>459</v>
      </c>
      <c r="K160" s="4">
        <v>45082</v>
      </c>
    </row>
    <row r="161" spans="5:11" x14ac:dyDescent="0.25">
      <c r="E161">
        <v>157</v>
      </c>
      <c r="F161" t="s">
        <v>33</v>
      </c>
      <c r="G161" t="s">
        <v>39</v>
      </c>
      <c r="H161" t="s">
        <v>8</v>
      </c>
      <c r="I161">
        <v>7280</v>
      </c>
      <c r="J161">
        <v>201</v>
      </c>
      <c r="K161" s="4">
        <v>45083</v>
      </c>
    </row>
    <row r="162" spans="5:11" x14ac:dyDescent="0.25">
      <c r="E162">
        <v>158</v>
      </c>
      <c r="F162" t="s">
        <v>32</v>
      </c>
      <c r="G162" t="s">
        <v>39</v>
      </c>
      <c r="H162" t="s">
        <v>23</v>
      </c>
      <c r="I162">
        <v>3402</v>
      </c>
      <c r="J162">
        <v>366</v>
      </c>
      <c r="K162" s="4">
        <v>45084</v>
      </c>
    </row>
    <row r="163" spans="5:11" x14ac:dyDescent="0.25">
      <c r="E163">
        <v>159</v>
      </c>
      <c r="F163" t="s">
        <v>34</v>
      </c>
      <c r="G163" t="s">
        <v>40</v>
      </c>
      <c r="H163" t="s">
        <v>22</v>
      </c>
      <c r="I163">
        <v>4592</v>
      </c>
      <c r="J163">
        <v>324</v>
      </c>
      <c r="K163" s="4">
        <v>45085</v>
      </c>
    </row>
    <row r="164" spans="5:11" x14ac:dyDescent="0.25">
      <c r="E164">
        <v>160</v>
      </c>
      <c r="F164" t="s">
        <v>3</v>
      </c>
      <c r="G164" t="s">
        <v>45</v>
      </c>
      <c r="H164" t="s">
        <v>8</v>
      </c>
      <c r="I164">
        <v>7833</v>
      </c>
      <c r="J164">
        <v>243</v>
      </c>
      <c r="K164" s="4">
        <v>45086</v>
      </c>
    </row>
    <row r="165" spans="5:11" x14ac:dyDescent="0.25">
      <c r="E165">
        <v>161</v>
      </c>
      <c r="F165" t="s">
        <v>28</v>
      </c>
      <c r="G165" t="s">
        <v>44</v>
      </c>
      <c r="H165" t="s">
        <v>14</v>
      </c>
      <c r="I165">
        <v>7651</v>
      </c>
      <c r="J165">
        <v>213</v>
      </c>
      <c r="K165" s="4">
        <v>45087</v>
      </c>
    </row>
    <row r="166" spans="5:11" x14ac:dyDescent="0.25">
      <c r="E166">
        <v>162</v>
      </c>
      <c r="F166" t="s">
        <v>36</v>
      </c>
      <c r="G166" t="s">
        <v>45</v>
      </c>
      <c r="H166" t="s">
        <v>23</v>
      </c>
      <c r="I166">
        <v>2275</v>
      </c>
      <c r="J166">
        <v>447</v>
      </c>
      <c r="K166" s="4">
        <v>45088</v>
      </c>
    </row>
    <row r="167" spans="5:11" x14ac:dyDescent="0.25">
      <c r="E167">
        <v>163</v>
      </c>
      <c r="F167" t="s">
        <v>36</v>
      </c>
      <c r="G167" t="s">
        <v>37</v>
      </c>
      <c r="H167" t="s">
        <v>6</v>
      </c>
      <c r="I167">
        <v>5670</v>
      </c>
      <c r="J167">
        <v>297</v>
      </c>
      <c r="K167" s="4">
        <v>45089</v>
      </c>
    </row>
    <row r="168" spans="5:11" x14ac:dyDescent="0.25">
      <c r="E168">
        <v>164</v>
      </c>
      <c r="F168" t="s">
        <v>31</v>
      </c>
      <c r="G168" t="s">
        <v>45</v>
      </c>
      <c r="H168" t="s">
        <v>9</v>
      </c>
      <c r="I168">
        <v>2135</v>
      </c>
      <c r="J168">
        <v>27</v>
      </c>
      <c r="K168" s="4">
        <v>45090</v>
      </c>
    </row>
    <row r="169" spans="5:11" x14ac:dyDescent="0.25">
      <c r="E169">
        <v>165</v>
      </c>
      <c r="F169" t="s">
        <v>36</v>
      </c>
      <c r="G169" t="s">
        <v>39</v>
      </c>
      <c r="H169" t="s">
        <v>16</v>
      </c>
      <c r="I169">
        <v>2779</v>
      </c>
      <c r="J169">
        <v>75</v>
      </c>
      <c r="K169" s="4">
        <v>45091</v>
      </c>
    </row>
    <row r="170" spans="5:11" x14ac:dyDescent="0.25">
      <c r="E170">
        <v>166</v>
      </c>
      <c r="F170" t="s">
        <v>35</v>
      </c>
      <c r="G170" t="s">
        <v>44</v>
      </c>
      <c r="H170" t="s">
        <v>26</v>
      </c>
      <c r="I170">
        <v>12950</v>
      </c>
      <c r="J170">
        <v>30</v>
      </c>
      <c r="K170" s="4">
        <v>45092</v>
      </c>
    </row>
    <row r="171" spans="5:11" x14ac:dyDescent="0.25">
      <c r="E171">
        <v>167</v>
      </c>
      <c r="F171" t="s">
        <v>31</v>
      </c>
      <c r="G171" t="s">
        <v>38</v>
      </c>
      <c r="H171" t="s">
        <v>11</v>
      </c>
      <c r="I171">
        <v>2646</v>
      </c>
      <c r="J171">
        <v>177</v>
      </c>
      <c r="K171" s="4">
        <v>45093</v>
      </c>
    </row>
    <row r="172" spans="5:11" x14ac:dyDescent="0.25">
      <c r="E172">
        <v>168</v>
      </c>
      <c r="F172" t="s">
        <v>36</v>
      </c>
      <c r="G172" t="s">
        <v>39</v>
      </c>
      <c r="H172" t="s">
        <v>26</v>
      </c>
      <c r="I172">
        <v>3794</v>
      </c>
      <c r="J172">
        <v>159</v>
      </c>
      <c r="K172" s="4">
        <v>45094</v>
      </c>
    </row>
    <row r="173" spans="5:11" x14ac:dyDescent="0.25">
      <c r="E173">
        <v>169</v>
      </c>
      <c r="F173" t="s">
        <v>34</v>
      </c>
      <c r="G173" t="s">
        <v>45</v>
      </c>
      <c r="H173" t="s">
        <v>26</v>
      </c>
      <c r="I173">
        <v>819</v>
      </c>
      <c r="J173">
        <v>306</v>
      </c>
      <c r="K173" s="4">
        <v>45095</v>
      </c>
    </row>
    <row r="174" spans="5:11" x14ac:dyDescent="0.25">
      <c r="E174">
        <v>170</v>
      </c>
      <c r="F174" t="s">
        <v>34</v>
      </c>
      <c r="G174" t="s">
        <v>39</v>
      </c>
      <c r="H174" t="s">
        <v>13</v>
      </c>
      <c r="I174">
        <v>2583</v>
      </c>
      <c r="J174">
        <v>18</v>
      </c>
      <c r="K174" s="4">
        <v>45096</v>
      </c>
    </row>
    <row r="175" spans="5:11" x14ac:dyDescent="0.25">
      <c r="E175">
        <v>171</v>
      </c>
      <c r="F175" t="s">
        <v>31</v>
      </c>
      <c r="G175" t="s">
        <v>45</v>
      </c>
      <c r="H175" t="s">
        <v>12</v>
      </c>
      <c r="I175">
        <v>4585</v>
      </c>
      <c r="J175">
        <v>240</v>
      </c>
      <c r="K175" s="4">
        <v>45097</v>
      </c>
    </row>
    <row r="176" spans="5:11" x14ac:dyDescent="0.25">
      <c r="E176">
        <v>172</v>
      </c>
      <c r="F176" t="s">
        <v>33</v>
      </c>
      <c r="G176" t="s">
        <v>39</v>
      </c>
      <c r="H176" t="s">
        <v>26</v>
      </c>
      <c r="I176">
        <v>1652</v>
      </c>
      <c r="J176">
        <v>93</v>
      </c>
      <c r="K176" s="4">
        <v>45098</v>
      </c>
    </row>
    <row r="177" spans="5:11" x14ac:dyDescent="0.25">
      <c r="E177">
        <v>173</v>
      </c>
      <c r="F177" t="s">
        <v>35</v>
      </c>
      <c r="G177" t="s">
        <v>39</v>
      </c>
      <c r="H177" t="s">
        <v>19</v>
      </c>
      <c r="I177">
        <v>4991</v>
      </c>
      <c r="J177">
        <v>9</v>
      </c>
      <c r="K177" s="4">
        <v>45099</v>
      </c>
    </row>
    <row r="178" spans="5:11" x14ac:dyDescent="0.25">
      <c r="E178">
        <v>174</v>
      </c>
      <c r="F178" t="s">
        <v>29</v>
      </c>
      <c r="G178" t="s">
        <v>39</v>
      </c>
      <c r="H178" t="s">
        <v>9</v>
      </c>
      <c r="I178">
        <v>2009</v>
      </c>
      <c r="J178">
        <v>219</v>
      </c>
      <c r="K178" s="4">
        <v>45100</v>
      </c>
    </row>
    <row r="179" spans="5:11" x14ac:dyDescent="0.25">
      <c r="E179">
        <v>175</v>
      </c>
      <c r="F179" t="s">
        <v>28</v>
      </c>
      <c r="G179" t="s">
        <v>44</v>
      </c>
      <c r="H179" t="s">
        <v>15</v>
      </c>
      <c r="I179">
        <v>1568</v>
      </c>
      <c r="J179">
        <v>141</v>
      </c>
      <c r="K179" s="4">
        <v>45101</v>
      </c>
    </row>
    <row r="180" spans="5:11" x14ac:dyDescent="0.25">
      <c r="E180">
        <v>176</v>
      </c>
      <c r="F180" t="s">
        <v>30</v>
      </c>
      <c r="G180" t="s">
        <v>40</v>
      </c>
      <c r="H180" t="s">
        <v>13</v>
      </c>
      <c r="I180">
        <v>3388</v>
      </c>
      <c r="J180">
        <v>123</v>
      </c>
      <c r="K180" s="4">
        <v>45102</v>
      </c>
    </row>
    <row r="181" spans="5:11" x14ac:dyDescent="0.25">
      <c r="E181">
        <v>177</v>
      </c>
      <c r="F181" t="s">
        <v>36</v>
      </c>
      <c r="G181" t="s">
        <v>37</v>
      </c>
      <c r="H181" t="s">
        <v>17</v>
      </c>
      <c r="I181">
        <v>623</v>
      </c>
      <c r="J181">
        <v>51</v>
      </c>
      <c r="K181" s="4">
        <v>45103</v>
      </c>
    </row>
    <row r="182" spans="5:11" x14ac:dyDescent="0.25">
      <c r="E182">
        <v>178</v>
      </c>
      <c r="F182" t="s">
        <v>32</v>
      </c>
      <c r="G182" t="s">
        <v>38</v>
      </c>
      <c r="H182" t="s">
        <v>2</v>
      </c>
      <c r="I182">
        <v>10073</v>
      </c>
      <c r="J182">
        <v>120</v>
      </c>
      <c r="K182" s="4">
        <v>45104</v>
      </c>
    </row>
    <row r="183" spans="5:11" x14ac:dyDescent="0.25">
      <c r="E183">
        <v>179</v>
      </c>
      <c r="F183" t="s">
        <v>29</v>
      </c>
      <c r="G183" t="s">
        <v>44</v>
      </c>
      <c r="H183" t="s">
        <v>19</v>
      </c>
      <c r="I183">
        <v>1561</v>
      </c>
      <c r="J183">
        <v>27</v>
      </c>
      <c r="K183" s="4">
        <v>45105</v>
      </c>
    </row>
    <row r="184" spans="5:11" x14ac:dyDescent="0.25">
      <c r="E184">
        <v>180</v>
      </c>
      <c r="F184" t="s">
        <v>3</v>
      </c>
      <c r="G184" t="s">
        <v>38</v>
      </c>
      <c r="H184" t="s">
        <v>20</v>
      </c>
      <c r="I184">
        <v>11522</v>
      </c>
      <c r="J184">
        <v>204</v>
      </c>
      <c r="K184" s="4">
        <v>45106</v>
      </c>
    </row>
    <row r="185" spans="5:11" x14ac:dyDescent="0.25">
      <c r="E185">
        <v>181</v>
      </c>
      <c r="F185" t="s">
        <v>32</v>
      </c>
      <c r="G185" t="s">
        <v>37</v>
      </c>
      <c r="H185" t="s">
        <v>6</v>
      </c>
      <c r="I185">
        <v>2317</v>
      </c>
      <c r="J185">
        <v>123</v>
      </c>
      <c r="K185" s="4">
        <v>45107</v>
      </c>
    </row>
    <row r="186" spans="5:11" x14ac:dyDescent="0.25">
      <c r="E186">
        <v>182</v>
      </c>
      <c r="F186" t="s">
        <v>35</v>
      </c>
      <c r="G186" t="s">
        <v>40</v>
      </c>
      <c r="H186" t="s">
        <v>21</v>
      </c>
      <c r="I186">
        <v>3059</v>
      </c>
      <c r="J186">
        <v>27</v>
      </c>
      <c r="K186" s="4">
        <v>45108</v>
      </c>
    </row>
    <row r="187" spans="5:11" x14ac:dyDescent="0.25">
      <c r="E187">
        <v>183</v>
      </c>
      <c r="F187" t="s">
        <v>30</v>
      </c>
      <c r="G187" t="s">
        <v>40</v>
      </c>
      <c r="H187" t="s">
        <v>19</v>
      </c>
      <c r="I187">
        <v>2324</v>
      </c>
      <c r="J187">
        <v>177</v>
      </c>
      <c r="K187" s="4">
        <v>45109</v>
      </c>
    </row>
    <row r="188" spans="5:11" x14ac:dyDescent="0.25">
      <c r="E188">
        <v>184</v>
      </c>
      <c r="F188" t="s">
        <v>34</v>
      </c>
      <c r="G188" t="s">
        <v>44</v>
      </c>
      <c r="H188" t="s">
        <v>19</v>
      </c>
      <c r="I188">
        <v>4956</v>
      </c>
      <c r="J188">
        <v>171</v>
      </c>
      <c r="K188" s="4">
        <v>45110</v>
      </c>
    </row>
    <row r="189" spans="5:11" x14ac:dyDescent="0.25">
      <c r="E189">
        <v>185</v>
      </c>
      <c r="F189" t="s">
        <v>35</v>
      </c>
      <c r="G189" t="s">
        <v>39</v>
      </c>
      <c r="H189" t="s">
        <v>12</v>
      </c>
      <c r="I189">
        <v>5355</v>
      </c>
      <c r="J189">
        <v>204</v>
      </c>
      <c r="K189" s="4">
        <v>45111</v>
      </c>
    </row>
    <row r="190" spans="5:11" x14ac:dyDescent="0.25">
      <c r="E190">
        <v>186</v>
      </c>
      <c r="F190" t="s">
        <v>34</v>
      </c>
      <c r="G190" t="s">
        <v>39</v>
      </c>
      <c r="H190" t="s">
        <v>7</v>
      </c>
      <c r="I190">
        <v>7259</v>
      </c>
      <c r="J190">
        <v>276</v>
      </c>
      <c r="K190" s="4">
        <v>45112</v>
      </c>
    </row>
    <row r="191" spans="5:11" x14ac:dyDescent="0.25">
      <c r="E191">
        <v>187</v>
      </c>
      <c r="F191" t="s">
        <v>29</v>
      </c>
      <c r="G191" t="s">
        <v>40</v>
      </c>
      <c r="H191" t="s">
        <v>19</v>
      </c>
      <c r="I191">
        <v>6279</v>
      </c>
      <c r="J191">
        <v>45</v>
      </c>
      <c r="K191" s="4">
        <v>45113</v>
      </c>
    </row>
    <row r="192" spans="5:11" x14ac:dyDescent="0.25">
      <c r="E192">
        <v>188</v>
      </c>
      <c r="F192" t="s">
        <v>36</v>
      </c>
      <c r="G192" t="s">
        <v>37</v>
      </c>
      <c r="H192" t="s">
        <v>22</v>
      </c>
      <c r="I192">
        <v>2541</v>
      </c>
      <c r="J192">
        <v>45</v>
      </c>
      <c r="K192" s="4">
        <v>45114</v>
      </c>
    </row>
    <row r="193" spans="5:11" x14ac:dyDescent="0.25">
      <c r="E193">
        <v>189</v>
      </c>
      <c r="F193" t="s">
        <v>32</v>
      </c>
      <c r="G193" t="s">
        <v>45</v>
      </c>
      <c r="H193" t="s">
        <v>20</v>
      </c>
      <c r="I193">
        <v>3864</v>
      </c>
      <c r="J193">
        <v>177</v>
      </c>
      <c r="K193" s="4">
        <v>45115</v>
      </c>
    </row>
    <row r="194" spans="5:11" x14ac:dyDescent="0.25">
      <c r="E194">
        <v>190</v>
      </c>
      <c r="F194" t="s">
        <v>33</v>
      </c>
      <c r="G194" t="s">
        <v>38</v>
      </c>
      <c r="H194" t="s">
        <v>6</v>
      </c>
      <c r="I194">
        <v>6146</v>
      </c>
      <c r="J194">
        <v>63</v>
      </c>
      <c r="K194" s="4">
        <v>45116</v>
      </c>
    </row>
    <row r="195" spans="5:11" x14ac:dyDescent="0.25">
      <c r="E195">
        <v>191</v>
      </c>
      <c r="F195" t="s">
        <v>3</v>
      </c>
      <c r="G195" t="s">
        <v>44</v>
      </c>
      <c r="H195" t="s">
        <v>11</v>
      </c>
      <c r="I195">
        <v>2639</v>
      </c>
      <c r="J195">
        <v>204</v>
      </c>
      <c r="K195" s="4">
        <v>45117</v>
      </c>
    </row>
    <row r="196" spans="5:11" x14ac:dyDescent="0.25">
      <c r="E196">
        <v>192</v>
      </c>
      <c r="F196" t="s">
        <v>29</v>
      </c>
      <c r="G196" t="s">
        <v>40</v>
      </c>
      <c r="H196" t="s">
        <v>15</v>
      </c>
      <c r="I196">
        <v>1890</v>
      </c>
      <c r="J196">
        <v>195</v>
      </c>
      <c r="K196" s="4">
        <v>45118</v>
      </c>
    </row>
    <row r="197" spans="5:11" x14ac:dyDescent="0.25">
      <c r="E197">
        <v>193</v>
      </c>
      <c r="F197" t="s">
        <v>31</v>
      </c>
      <c r="G197" t="s">
        <v>39</v>
      </c>
      <c r="H197" t="s">
        <v>7</v>
      </c>
      <c r="I197">
        <v>1932</v>
      </c>
      <c r="J197">
        <v>369</v>
      </c>
      <c r="K197" s="4">
        <v>45119</v>
      </c>
    </row>
    <row r="198" spans="5:11" x14ac:dyDescent="0.25">
      <c r="E198">
        <v>194</v>
      </c>
      <c r="F198" t="s">
        <v>34</v>
      </c>
      <c r="G198" t="s">
        <v>39</v>
      </c>
      <c r="H198" t="s">
        <v>18</v>
      </c>
      <c r="I198">
        <v>6300</v>
      </c>
      <c r="J198">
        <v>42</v>
      </c>
      <c r="K198" s="4">
        <v>45120</v>
      </c>
    </row>
    <row r="199" spans="5:11" x14ac:dyDescent="0.25">
      <c r="E199">
        <v>195</v>
      </c>
      <c r="F199" t="s">
        <v>32</v>
      </c>
      <c r="G199" t="s">
        <v>40</v>
      </c>
      <c r="H199" t="s">
        <v>23</v>
      </c>
      <c r="I199">
        <v>560</v>
      </c>
      <c r="J199">
        <v>81</v>
      </c>
      <c r="K199" s="4">
        <v>45121</v>
      </c>
    </row>
    <row r="200" spans="5:11" x14ac:dyDescent="0.25">
      <c r="E200">
        <v>196</v>
      </c>
      <c r="F200" t="s">
        <v>3</v>
      </c>
      <c r="G200" t="s">
        <v>40</v>
      </c>
      <c r="H200" t="s">
        <v>19</v>
      </c>
      <c r="I200">
        <v>2856</v>
      </c>
      <c r="J200">
        <v>246</v>
      </c>
      <c r="K200" s="4">
        <v>45122</v>
      </c>
    </row>
    <row r="201" spans="5:11" x14ac:dyDescent="0.25">
      <c r="E201">
        <v>197</v>
      </c>
      <c r="F201" t="s">
        <v>3</v>
      </c>
      <c r="G201" t="s">
        <v>39</v>
      </c>
      <c r="H201" t="s">
        <v>10</v>
      </c>
      <c r="I201">
        <v>707</v>
      </c>
      <c r="J201">
        <v>174</v>
      </c>
      <c r="K201" s="4">
        <v>45123</v>
      </c>
    </row>
    <row r="202" spans="5:11" x14ac:dyDescent="0.25">
      <c r="E202">
        <v>198</v>
      </c>
      <c r="F202" t="s">
        <v>29</v>
      </c>
      <c r="G202" t="s">
        <v>45</v>
      </c>
      <c r="H202" t="s">
        <v>23</v>
      </c>
      <c r="I202">
        <v>3598</v>
      </c>
      <c r="J202">
        <v>81</v>
      </c>
      <c r="K202" s="4">
        <v>45124</v>
      </c>
    </row>
    <row r="203" spans="5:11" x14ac:dyDescent="0.25">
      <c r="E203">
        <v>199</v>
      </c>
      <c r="F203" t="s">
        <v>36</v>
      </c>
      <c r="G203" t="s">
        <v>45</v>
      </c>
      <c r="H203" t="s">
        <v>15</v>
      </c>
      <c r="I203">
        <v>6853</v>
      </c>
      <c r="J203">
        <v>372</v>
      </c>
      <c r="K203" s="4">
        <v>45125</v>
      </c>
    </row>
    <row r="204" spans="5:11" x14ac:dyDescent="0.25">
      <c r="E204">
        <v>200</v>
      </c>
      <c r="F204" t="s">
        <v>36</v>
      </c>
      <c r="G204" t="s">
        <v>45</v>
      </c>
      <c r="H204" t="s">
        <v>9</v>
      </c>
      <c r="I204">
        <v>4725</v>
      </c>
      <c r="J204">
        <v>174</v>
      </c>
      <c r="K204" s="4">
        <v>45126</v>
      </c>
    </row>
    <row r="205" spans="5:11" x14ac:dyDescent="0.25">
      <c r="E205">
        <v>201</v>
      </c>
      <c r="F205" t="s">
        <v>30</v>
      </c>
      <c r="G205" t="s">
        <v>38</v>
      </c>
      <c r="H205" t="s">
        <v>25</v>
      </c>
      <c r="I205">
        <v>10304</v>
      </c>
      <c r="J205">
        <v>84</v>
      </c>
      <c r="K205" s="4">
        <v>45127</v>
      </c>
    </row>
    <row r="206" spans="5:11" x14ac:dyDescent="0.25">
      <c r="E206">
        <v>202</v>
      </c>
      <c r="F206" t="s">
        <v>30</v>
      </c>
      <c r="G206" t="s">
        <v>39</v>
      </c>
      <c r="H206" t="s">
        <v>9</v>
      </c>
      <c r="I206">
        <v>1274</v>
      </c>
      <c r="J206">
        <v>225</v>
      </c>
      <c r="K206" s="4">
        <v>45128</v>
      </c>
    </row>
    <row r="207" spans="5:11" x14ac:dyDescent="0.25">
      <c r="E207">
        <v>203</v>
      </c>
      <c r="F207" t="s">
        <v>33</v>
      </c>
      <c r="G207" t="s">
        <v>38</v>
      </c>
      <c r="H207" t="s">
        <v>23</v>
      </c>
      <c r="I207">
        <v>1526</v>
      </c>
      <c r="J207">
        <v>105</v>
      </c>
      <c r="K207" s="4">
        <v>45129</v>
      </c>
    </row>
    <row r="208" spans="5:11" x14ac:dyDescent="0.25">
      <c r="E208">
        <v>204</v>
      </c>
      <c r="F208" t="s">
        <v>36</v>
      </c>
      <c r="G208" t="s">
        <v>44</v>
      </c>
      <c r="H208" t="s">
        <v>21</v>
      </c>
      <c r="I208">
        <v>3101</v>
      </c>
      <c r="J208">
        <v>225</v>
      </c>
      <c r="K208" s="4">
        <v>45130</v>
      </c>
    </row>
    <row r="209" spans="5:11" x14ac:dyDescent="0.25">
      <c r="E209">
        <v>205</v>
      </c>
      <c r="F209" t="s">
        <v>28</v>
      </c>
      <c r="G209" t="s">
        <v>40</v>
      </c>
      <c r="H209" t="s">
        <v>7</v>
      </c>
      <c r="I209">
        <v>1057</v>
      </c>
      <c r="J209">
        <v>54</v>
      </c>
      <c r="K209" s="4">
        <v>45131</v>
      </c>
    </row>
    <row r="210" spans="5:11" x14ac:dyDescent="0.25">
      <c r="E210">
        <v>206</v>
      </c>
      <c r="F210" t="s">
        <v>31</v>
      </c>
      <c r="G210" t="s">
        <v>40</v>
      </c>
      <c r="H210" t="s">
        <v>19</v>
      </c>
      <c r="I210">
        <v>5306</v>
      </c>
      <c r="J210">
        <v>0</v>
      </c>
      <c r="K210" s="4">
        <v>45132</v>
      </c>
    </row>
    <row r="211" spans="5:11" x14ac:dyDescent="0.25">
      <c r="E211">
        <v>207</v>
      </c>
      <c r="F211" t="s">
        <v>33</v>
      </c>
      <c r="G211" t="s">
        <v>44</v>
      </c>
      <c r="H211" t="s">
        <v>17</v>
      </c>
      <c r="I211">
        <v>4018</v>
      </c>
      <c r="J211">
        <v>171</v>
      </c>
      <c r="K211" s="4">
        <v>45133</v>
      </c>
    </row>
    <row r="212" spans="5:11" x14ac:dyDescent="0.25">
      <c r="E212">
        <v>208</v>
      </c>
      <c r="F212" t="s">
        <v>3</v>
      </c>
      <c r="G212" t="s">
        <v>39</v>
      </c>
      <c r="H212" t="s">
        <v>9</v>
      </c>
      <c r="I212">
        <v>938</v>
      </c>
      <c r="J212">
        <v>189</v>
      </c>
      <c r="K212" s="4">
        <v>45134</v>
      </c>
    </row>
    <row r="213" spans="5:11" x14ac:dyDescent="0.25">
      <c r="E213">
        <v>209</v>
      </c>
      <c r="F213" t="s">
        <v>31</v>
      </c>
      <c r="G213" t="s">
        <v>37</v>
      </c>
      <c r="H213" t="s">
        <v>11</v>
      </c>
      <c r="I213">
        <v>1778</v>
      </c>
      <c r="J213">
        <v>270</v>
      </c>
      <c r="K213" s="4">
        <v>45135</v>
      </c>
    </row>
    <row r="214" spans="5:11" x14ac:dyDescent="0.25">
      <c r="E214">
        <v>210</v>
      </c>
      <c r="F214" t="s">
        <v>32</v>
      </c>
      <c r="G214" t="s">
        <v>44</v>
      </c>
      <c r="H214" t="s">
        <v>23</v>
      </c>
      <c r="I214">
        <v>1638</v>
      </c>
      <c r="J214">
        <v>63</v>
      </c>
      <c r="K214" s="4">
        <v>45136</v>
      </c>
    </row>
    <row r="215" spans="5:11" x14ac:dyDescent="0.25">
      <c r="E215">
        <v>211</v>
      </c>
      <c r="F215" t="s">
        <v>30</v>
      </c>
      <c r="G215" t="s">
        <v>37</v>
      </c>
      <c r="H215" t="s">
        <v>18</v>
      </c>
      <c r="I215">
        <v>154</v>
      </c>
      <c r="J215">
        <v>21</v>
      </c>
      <c r="K215" s="4">
        <v>45137</v>
      </c>
    </row>
    <row r="216" spans="5:11" x14ac:dyDescent="0.25">
      <c r="E216">
        <v>212</v>
      </c>
      <c r="F216" t="s">
        <v>31</v>
      </c>
      <c r="G216" t="s">
        <v>40</v>
      </c>
      <c r="H216" t="s">
        <v>15</v>
      </c>
      <c r="I216">
        <v>9835</v>
      </c>
      <c r="J216">
        <v>207</v>
      </c>
      <c r="K216" s="4">
        <v>45138</v>
      </c>
    </row>
    <row r="217" spans="5:11" x14ac:dyDescent="0.25">
      <c r="E217">
        <v>213</v>
      </c>
      <c r="F217" t="s">
        <v>3</v>
      </c>
      <c r="G217" t="s">
        <v>40</v>
      </c>
      <c r="H217" t="s">
        <v>13</v>
      </c>
      <c r="I217">
        <v>7273</v>
      </c>
      <c r="J217">
        <v>96</v>
      </c>
      <c r="K217" s="4">
        <v>45139</v>
      </c>
    </row>
    <row r="218" spans="5:11" x14ac:dyDescent="0.25">
      <c r="E218">
        <v>214</v>
      </c>
      <c r="F218" t="s">
        <v>33</v>
      </c>
      <c r="G218" t="s">
        <v>44</v>
      </c>
      <c r="H218" t="s">
        <v>15</v>
      </c>
      <c r="I218">
        <v>6909</v>
      </c>
      <c r="J218">
        <v>81</v>
      </c>
      <c r="K218" s="4">
        <v>45140</v>
      </c>
    </row>
    <row r="219" spans="5:11" x14ac:dyDescent="0.25">
      <c r="E219">
        <v>215</v>
      </c>
      <c r="F219" t="s">
        <v>3</v>
      </c>
      <c r="G219" t="s">
        <v>44</v>
      </c>
      <c r="H219" t="s">
        <v>17</v>
      </c>
      <c r="I219">
        <v>3920</v>
      </c>
      <c r="J219">
        <v>306</v>
      </c>
      <c r="K219" s="4">
        <v>45141</v>
      </c>
    </row>
    <row r="220" spans="5:11" x14ac:dyDescent="0.25">
      <c r="E220">
        <v>216</v>
      </c>
      <c r="F220" t="s">
        <v>35</v>
      </c>
      <c r="G220" t="s">
        <v>44</v>
      </c>
      <c r="H220" t="s">
        <v>14</v>
      </c>
      <c r="I220">
        <v>4858</v>
      </c>
      <c r="J220">
        <v>279</v>
      </c>
      <c r="K220" s="4">
        <v>45142</v>
      </c>
    </row>
    <row r="221" spans="5:11" x14ac:dyDescent="0.25">
      <c r="E221">
        <v>217</v>
      </c>
      <c r="F221" t="s">
        <v>28</v>
      </c>
      <c r="G221" t="s">
        <v>37</v>
      </c>
      <c r="H221" t="s">
        <v>2</v>
      </c>
      <c r="I221">
        <v>3549</v>
      </c>
      <c r="J221">
        <v>3</v>
      </c>
      <c r="K221" s="4">
        <v>45143</v>
      </c>
    </row>
    <row r="222" spans="5:11" x14ac:dyDescent="0.25">
      <c r="E222">
        <v>218</v>
      </c>
      <c r="F222" t="s">
        <v>31</v>
      </c>
      <c r="G222" t="s">
        <v>44</v>
      </c>
      <c r="H222" t="s">
        <v>20</v>
      </c>
      <c r="I222">
        <v>966</v>
      </c>
      <c r="J222">
        <v>198</v>
      </c>
      <c r="K222" s="4">
        <v>45144</v>
      </c>
    </row>
    <row r="223" spans="5:11" x14ac:dyDescent="0.25">
      <c r="E223">
        <v>219</v>
      </c>
      <c r="F223" t="s">
        <v>33</v>
      </c>
      <c r="G223" t="s">
        <v>44</v>
      </c>
      <c r="H223" t="s">
        <v>11</v>
      </c>
      <c r="I223">
        <v>385</v>
      </c>
      <c r="J223">
        <v>249</v>
      </c>
      <c r="K223" s="4">
        <v>45145</v>
      </c>
    </row>
    <row r="224" spans="5:11" x14ac:dyDescent="0.25">
      <c r="E224">
        <v>220</v>
      </c>
      <c r="F224" t="s">
        <v>32</v>
      </c>
      <c r="G224" t="s">
        <v>39</v>
      </c>
      <c r="H224" t="s">
        <v>9</v>
      </c>
      <c r="I224">
        <v>2219</v>
      </c>
      <c r="J224">
        <v>75</v>
      </c>
      <c r="K224" s="4">
        <v>45146</v>
      </c>
    </row>
    <row r="225" spans="5:11" x14ac:dyDescent="0.25">
      <c r="E225">
        <v>221</v>
      </c>
      <c r="F225" t="s">
        <v>3</v>
      </c>
      <c r="G225" t="s">
        <v>38</v>
      </c>
      <c r="H225" t="s">
        <v>25</v>
      </c>
      <c r="I225">
        <v>2954</v>
      </c>
      <c r="J225">
        <v>189</v>
      </c>
      <c r="K225" s="4">
        <v>45147</v>
      </c>
    </row>
    <row r="226" spans="5:11" x14ac:dyDescent="0.25">
      <c r="E226">
        <v>222</v>
      </c>
      <c r="F226" t="s">
        <v>31</v>
      </c>
      <c r="G226" t="s">
        <v>38</v>
      </c>
      <c r="H226" t="s">
        <v>25</v>
      </c>
      <c r="I226">
        <v>280</v>
      </c>
      <c r="J226">
        <v>87</v>
      </c>
      <c r="K226" s="4">
        <v>45148</v>
      </c>
    </row>
    <row r="227" spans="5:11" x14ac:dyDescent="0.25">
      <c r="E227">
        <v>223</v>
      </c>
      <c r="F227" t="s">
        <v>30</v>
      </c>
      <c r="G227" t="s">
        <v>38</v>
      </c>
      <c r="H227" t="s">
        <v>23</v>
      </c>
      <c r="I227">
        <v>6118</v>
      </c>
      <c r="J227">
        <v>174</v>
      </c>
      <c r="K227" s="4">
        <v>45149</v>
      </c>
    </row>
    <row r="228" spans="5:11" x14ac:dyDescent="0.25">
      <c r="E228">
        <v>224</v>
      </c>
      <c r="F228" t="s">
        <v>28</v>
      </c>
      <c r="G228" t="s">
        <v>44</v>
      </c>
      <c r="H228" t="s">
        <v>8</v>
      </c>
      <c r="I228">
        <v>4802</v>
      </c>
      <c r="J228">
        <v>36</v>
      </c>
      <c r="K228" s="4">
        <v>45150</v>
      </c>
    </row>
    <row r="229" spans="5:11" x14ac:dyDescent="0.25">
      <c r="E229">
        <v>225</v>
      </c>
      <c r="F229" t="s">
        <v>3</v>
      </c>
      <c r="G229" t="s">
        <v>37</v>
      </c>
      <c r="H229" t="s">
        <v>17</v>
      </c>
      <c r="I229">
        <v>4137</v>
      </c>
      <c r="J229">
        <v>60</v>
      </c>
      <c r="K229" s="4">
        <v>45151</v>
      </c>
    </row>
    <row r="230" spans="5:11" x14ac:dyDescent="0.25">
      <c r="E230">
        <v>226</v>
      </c>
      <c r="F230" t="s">
        <v>34</v>
      </c>
      <c r="G230" t="s">
        <v>45</v>
      </c>
      <c r="H230" t="s">
        <v>16</v>
      </c>
      <c r="I230">
        <v>2023</v>
      </c>
      <c r="J230">
        <v>78</v>
      </c>
      <c r="K230" s="4">
        <v>45152</v>
      </c>
    </row>
    <row r="231" spans="5:11" x14ac:dyDescent="0.25">
      <c r="E231">
        <v>227</v>
      </c>
      <c r="F231" t="s">
        <v>3</v>
      </c>
      <c r="G231" t="s">
        <v>38</v>
      </c>
      <c r="H231" t="s">
        <v>23</v>
      </c>
      <c r="I231">
        <v>9051</v>
      </c>
      <c r="J231">
        <v>57</v>
      </c>
      <c r="K231" s="4">
        <v>45153</v>
      </c>
    </row>
    <row r="232" spans="5:11" x14ac:dyDescent="0.25">
      <c r="E232">
        <v>228</v>
      </c>
      <c r="F232" t="s">
        <v>3</v>
      </c>
      <c r="G232" t="s">
        <v>40</v>
      </c>
      <c r="H232" t="s">
        <v>21</v>
      </c>
      <c r="I232">
        <v>2919</v>
      </c>
      <c r="J232">
        <v>45</v>
      </c>
      <c r="K232" s="4">
        <v>45154</v>
      </c>
    </row>
    <row r="233" spans="5:11" x14ac:dyDescent="0.25">
      <c r="E233">
        <v>229</v>
      </c>
      <c r="F233" t="s">
        <v>30</v>
      </c>
      <c r="G233" t="s">
        <v>37</v>
      </c>
      <c r="H233" t="s">
        <v>15</v>
      </c>
      <c r="I233">
        <v>5915</v>
      </c>
      <c r="J233">
        <v>3</v>
      </c>
      <c r="K233" s="4">
        <v>45155</v>
      </c>
    </row>
    <row r="234" spans="5:11" x14ac:dyDescent="0.25">
      <c r="E234">
        <v>230</v>
      </c>
      <c r="F234" t="s">
        <v>35</v>
      </c>
      <c r="G234" t="s">
        <v>45</v>
      </c>
      <c r="H234" t="s">
        <v>8</v>
      </c>
      <c r="I234">
        <v>2562</v>
      </c>
      <c r="J234">
        <v>6</v>
      </c>
      <c r="K234" s="4">
        <v>45156</v>
      </c>
    </row>
    <row r="235" spans="5:11" x14ac:dyDescent="0.25">
      <c r="E235">
        <v>231</v>
      </c>
      <c r="F235" t="s">
        <v>33</v>
      </c>
      <c r="G235" t="s">
        <v>40</v>
      </c>
      <c r="H235" t="s">
        <v>18</v>
      </c>
      <c r="I235">
        <v>8813</v>
      </c>
      <c r="J235">
        <v>21</v>
      </c>
      <c r="K235" s="4">
        <v>45157</v>
      </c>
    </row>
    <row r="236" spans="5:11" x14ac:dyDescent="0.25">
      <c r="E236">
        <v>232</v>
      </c>
      <c r="F236" t="s">
        <v>33</v>
      </c>
      <c r="G236" t="s">
        <v>38</v>
      </c>
      <c r="H236" t="s">
        <v>11</v>
      </c>
      <c r="I236">
        <v>6111</v>
      </c>
      <c r="J236">
        <v>3</v>
      </c>
      <c r="K236" s="4">
        <v>45158</v>
      </c>
    </row>
    <row r="237" spans="5:11" x14ac:dyDescent="0.25">
      <c r="E237">
        <v>233</v>
      </c>
      <c r="F237" t="s">
        <v>29</v>
      </c>
      <c r="G237" t="s">
        <v>39</v>
      </c>
      <c r="H237" t="s">
        <v>24</v>
      </c>
      <c r="I237">
        <v>3507</v>
      </c>
      <c r="J237">
        <v>288</v>
      </c>
      <c r="K237" s="4">
        <v>45159</v>
      </c>
    </row>
    <row r="238" spans="5:11" x14ac:dyDescent="0.25">
      <c r="E238">
        <v>234</v>
      </c>
      <c r="F238" t="s">
        <v>32</v>
      </c>
      <c r="G238" t="s">
        <v>38</v>
      </c>
      <c r="H238" t="s">
        <v>6</v>
      </c>
      <c r="I238">
        <v>4319</v>
      </c>
      <c r="J238">
        <v>30</v>
      </c>
      <c r="K238" s="4">
        <v>45160</v>
      </c>
    </row>
    <row r="239" spans="5:11" x14ac:dyDescent="0.25">
      <c r="E239">
        <v>235</v>
      </c>
      <c r="F239" t="s">
        <v>36</v>
      </c>
      <c r="G239" t="s">
        <v>37</v>
      </c>
      <c r="H239" t="s">
        <v>19</v>
      </c>
      <c r="I239">
        <v>609</v>
      </c>
      <c r="J239">
        <v>87</v>
      </c>
      <c r="K239" s="4">
        <v>45161</v>
      </c>
    </row>
    <row r="240" spans="5:11" x14ac:dyDescent="0.25">
      <c r="E240">
        <v>236</v>
      </c>
      <c r="F240" t="s">
        <v>36</v>
      </c>
      <c r="G240" t="s">
        <v>44</v>
      </c>
      <c r="H240" t="s">
        <v>20</v>
      </c>
      <c r="I240">
        <v>6370</v>
      </c>
      <c r="J240">
        <v>30</v>
      </c>
      <c r="K240" s="4">
        <v>45162</v>
      </c>
    </row>
    <row r="241" spans="5:11" x14ac:dyDescent="0.25">
      <c r="E241">
        <v>237</v>
      </c>
      <c r="F241" t="s">
        <v>33</v>
      </c>
      <c r="G241" t="s">
        <v>37</v>
      </c>
      <c r="H241" t="s">
        <v>12</v>
      </c>
      <c r="I241">
        <v>5474</v>
      </c>
      <c r="J241">
        <v>168</v>
      </c>
      <c r="K241" s="4">
        <v>45163</v>
      </c>
    </row>
    <row r="242" spans="5:11" x14ac:dyDescent="0.25">
      <c r="E242">
        <v>238</v>
      </c>
      <c r="F242" t="s">
        <v>36</v>
      </c>
      <c r="G242" t="s">
        <v>38</v>
      </c>
      <c r="H242" t="s">
        <v>20</v>
      </c>
      <c r="I242">
        <v>3164</v>
      </c>
      <c r="J242">
        <v>306</v>
      </c>
      <c r="K242" s="4">
        <v>45164</v>
      </c>
    </row>
    <row r="243" spans="5:11" x14ac:dyDescent="0.25">
      <c r="E243">
        <v>239</v>
      </c>
      <c r="F243" t="s">
        <v>32</v>
      </c>
      <c r="G243" t="s">
        <v>45</v>
      </c>
      <c r="H243" t="s">
        <v>2</v>
      </c>
      <c r="I243">
        <v>1302</v>
      </c>
      <c r="J243">
        <v>402</v>
      </c>
      <c r="K243" s="4">
        <v>45165</v>
      </c>
    </row>
    <row r="244" spans="5:11" x14ac:dyDescent="0.25">
      <c r="E244">
        <v>240</v>
      </c>
      <c r="F244" t="s">
        <v>34</v>
      </c>
      <c r="G244" t="s">
        <v>40</v>
      </c>
      <c r="H244" t="s">
        <v>21</v>
      </c>
      <c r="I244">
        <v>7308</v>
      </c>
      <c r="J244">
        <v>327</v>
      </c>
      <c r="K244" s="4">
        <v>45166</v>
      </c>
    </row>
    <row r="245" spans="5:11" x14ac:dyDescent="0.25">
      <c r="E245">
        <v>241</v>
      </c>
      <c r="F245" t="s">
        <v>36</v>
      </c>
      <c r="G245" t="s">
        <v>40</v>
      </c>
      <c r="H245" t="s">
        <v>20</v>
      </c>
      <c r="I245">
        <v>6132</v>
      </c>
      <c r="J245">
        <v>93</v>
      </c>
      <c r="K245" s="4">
        <v>45167</v>
      </c>
    </row>
    <row r="246" spans="5:11" x14ac:dyDescent="0.25">
      <c r="E246">
        <v>242</v>
      </c>
      <c r="F246" t="s">
        <v>35</v>
      </c>
      <c r="G246" t="s">
        <v>45</v>
      </c>
      <c r="H246" t="s">
        <v>7</v>
      </c>
      <c r="I246">
        <v>3472</v>
      </c>
      <c r="J246">
        <v>96</v>
      </c>
      <c r="K246" s="4">
        <v>45168</v>
      </c>
    </row>
    <row r="247" spans="5:11" x14ac:dyDescent="0.25">
      <c r="E247">
        <v>243</v>
      </c>
      <c r="F247" t="s">
        <v>29</v>
      </c>
      <c r="G247" t="s">
        <v>44</v>
      </c>
      <c r="H247" t="s">
        <v>11</v>
      </c>
      <c r="I247">
        <v>9660</v>
      </c>
      <c r="J247">
        <v>27</v>
      </c>
      <c r="K247" s="4">
        <v>45169</v>
      </c>
    </row>
    <row r="248" spans="5:11" x14ac:dyDescent="0.25">
      <c r="E248">
        <v>244</v>
      </c>
      <c r="F248" t="s">
        <v>3</v>
      </c>
      <c r="G248" t="s">
        <v>37</v>
      </c>
      <c r="H248" t="s">
        <v>19</v>
      </c>
      <c r="I248">
        <v>2436</v>
      </c>
      <c r="J248">
        <v>99</v>
      </c>
      <c r="K248" s="4">
        <v>45170</v>
      </c>
    </row>
    <row r="249" spans="5:11" x14ac:dyDescent="0.25">
      <c r="E249">
        <v>245</v>
      </c>
      <c r="F249" t="s">
        <v>3</v>
      </c>
      <c r="G249" t="s">
        <v>37</v>
      </c>
      <c r="H249" t="s">
        <v>26</v>
      </c>
      <c r="I249">
        <v>9506</v>
      </c>
      <c r="J249">
        <v>87</v>
      </c>
      <c r="K249" s="4">
        <v>45171</v>
      </c>
    </row>
    <row r="250" spans="5:11" x14ac:dyDescent="0.25">
      <c r="E250">
        <v>246</v>
      </c>
      <c r="F250" t="s">
        <v>35</v>
      </c>
      <c r="G250" t="s">
        <v>40</v>
      </c>
      <c r="H250" t="s">
        <v>14</v>
      </c>
      <c r="I250">
        <v>245</v>
      </c>
      <c r="J250">
        <v>288</v>
      </c>
      <c r="K250" s="4">
        <v>45172</v>
      </c>
    </row>
    <row r="251" spans="5:11" x14ac:dyDescent="0.25">
      <c r="E251">
        <v>247</v>
      </c>
      <c r="F251" t="s">
        <v>29</v>
      </c>
      <c r="G251" t="s">
        <v>45</v>
      </c>
      <c r="H251" t="s">
        <v>13</v>
      </c>
      <c r="I251">
        <v>2702</v>
      </c>
      <c r="J251">
        <v>363</v>
      </c>
      <c r="K251" s="4">
        <v>45173</v>
      </c>
    </row>
    <row r="252" spans="5:11" x14ac:dyDescent="0.25">
      <c r="E252">
        <v>248</v>
      </c>
      <c r="F252" t="s">
        <v>35</v>
      </c>
      <c r="G252" t="s">
        <v>39</v>
      </c>
      <c r="H252" t="s">
        <v>10</v>
      </c>
      <c r="I252">
        <v>700</v>
      </c>
      <c r="J252">
        <v>87</v>
      </c>
      <c r="K252" s="4">
        <v>45174</v>
      </c>
    </row>
    <row r="253" spans="5:11" x14ac:dyDescent="0.25">
      <c r="E253">
        <v>249</v>
      </c>
      <c r="F253" t="s">
        <v>32</v>
      </c>
      <c r="G253" t="s">
        <v>39</v>
      </c>
      <c r="H253" t="s">
        <v>10</v>
      </c>
      <c r="I253">
        <v>3759</v>
      </c>
      <c r="J253">
        <v>150</v>
      </c>
      <c r="K253" s="4">
        <v>45175</v>
      </c>
    </row>
    <row r="254" spans="5:11" x14ac:dyDescent="0.25">
      <c r="E254">
        <v>250</v>
      </c>
      <c r="F254" t="s">
        <v>28</v>
      </c>
      <c r="G254" t="s">
        <v>45</v>
      </c>
      <c r="H254" t="s">
        <v>10</v>
      </c>
      <c r="I254">
        <v>1589</v>
      </c>
      <c r="J254">
        <v>303</v>
      </c>
      <c r="K254" s="4">
        <v>45176</v>
      </c>
    </row>
    <row r="255" spans="5:11" x14ac:dyDescent="0.25">
      <c r="E255">
        <v>251</v>
      </c>
      <c r="F255" t="s">
        <v>31</v>
      </c>
      <c r="G255" t="s">
        <v>45</v>
      </c>
      <c r="H255" t="s">
        <v>21</v>
      </c>
      <c r="I255">
        <v>5194</v>
      </c>
      <c r="J255">
        <v>288</v>
      </c>
      <c r="K255" s="4">
        <v>45177</v>
      </c>
    </row>
    <row r="256" spans="5:11" x14ac:dyDescent="0.25">
      <c r="E256">
        <v>252</v>
      </c>
      <c r="F256" t="s">
        <v>35</v>
      </c>
      <c r="G256" t="s">
        <v>38</v>
      </c>
      <c r="H256" t="s">
        <v>6</v>
      </c>
      <c r="I256">
        <v>945</v>
      </c>
      <c r="J256">
        <v>75</v>
      </c>
      <c r="K256" s="4">
        <v>45178</v>
      </c>
    </row>
    <row r="257" spans="5:11" x14ac:dyDescent="0.25">
      <c r="E257">
        <v>253</v>
      </c>
      <c r="F257" t="s">
        <v>36</v>
      </c>
      <c r="G257" t="s">
        <v>37</v>
      </c>
      <c r="H257" t="s">
        <v>24</v>
      </c>
      <c r="I257">
        <v>1988</v>
      </c>
      <c r="J257">
        <v>39</v>
      </c>
      <c r="K257" s="4">
        <v>45179</v>
      </c>
    </row>
    <row r="258" spans="5:11" x14ac:dyDescent="0.25">
      <c r="E258">
        <v>254</v>
      </c>
      <c r="F258" t="s">
        <v>32</v>
      </c>
      <c r="G258" t="s">
        <v>39</v>
      </c>
      <c r="H258" t="s">
        <v>25</v>
      </c>
      <c r="I258">
        <v>6734</v>
      </c>
      <c r="J258">
        <v>123</v>
      </c>
      <c r="K258" s="4">
        <v>45180</v>
      </c>
    </row>
    <row r="259" spans="5:11" x14ac:dyDescent="0.25">
      <c r="E259">
        <v>255</v>
      </c>
      <c r="F259" t="s">
        <v>36</v>
      </c>
      <c r="G259" t="s">
        <v>38</v>
      </c>
      <c r="H259" t="s">
        <v>2</v>
      </c>
      <c r="I259">
        <v>217</v>
      </c>
      <c r="J259">
        <v>36</v>
      </c>
      <c r="K259" s="4">
        <v>45181</v>
      </c>
    </row>
    <row r="260" spans="5:11" x14ac:dyDescent="0.25">
      <c r="E260">
        <v>256</v>
      </c>
      <c r="F260" t="s">
        <v>33</v>
      </c>
      <c r="G260" t="s">
        <v>39</v>
      </c>
      <c r="H260" t="s">
        <v>15</v>
      </c>
      <c r="I260">
        <v>6279</v>
      </c>
      <c r="J260">
        <v>237</v>
      </c>
      <c r="K260" s="4">
        <v>45182</v>
      </c>
    </row>
    <row r="261" spans="5:11" x14ac:dyDescent="0.25">
      <c r="E261">
        <v>257</v>
      </c>
      <c r="F261" t="s">
        <v>36</v>
      </c>
      <c r="G261" t="s">
        <v>38</v>
      </c>
      <c r="H261" t="s">
        <v>6</v>
      </c>
      <c r="I261">
        <v>4424</v>
      </c>
      <c r="J261">
        <v>201</v>
      </c>
      <c r="K261" s="4">
        <v>45183</v>
      </c>
    </row>
    <row r="262" spans="5:11" x14ac:dyDescent="0.25">
      <c r="E262">
        <v>258</v>
      </c>
      <c r="F262" t="s">
        <v>28</v>
      </c>
      <c r="G262" t="s">
        <v>38</v>
      </c>
      <c r="H262" t="s">
        <v>10</v>
      </c>
      <c r="I262">
        <v>189</v>
      </c>
      <c r="J262">
        <v>48</v>
      </c>
      <c r="K262" s="4">
        <v>45184</v>
      </c>
    </row>
    <row r="263" spans="5:11" x14ac:dyDescent="0.25">
      <c r="E263">
        <v>259</v>
      </c>
      <c r="F263" t="s">
        <v>33</v>
      </c>
      <c r="G263" t="s">
        <v>45</v>
      </c>
      <c r="H263" t="s">
        <v>15</v>
      </c>
      <c r="I263">
        <v>490</v>
      </c>
      <c r="J263">
        <v>84</v>
      </c>
      <c r="K263" s="4">
        <v>45185</v>
      </c>
    </row>
    <row r="264" spans="5:11" x14ac:dyDescent="0.25">
      <c r="E264">
        <v>260</v>
      </c>
      <c r="F264" t="s">
        <v>29</v>
      </c>
      <c r="G264" t="s">
        <v>40</v>
      </c>
      <c r="H264" t="s">
        <v>14</v>
      </c>
      <c r="I264">
        <v>434</v>
      </c>
      <c r="J264">
        <v>87</v>
      </c>
      <c r="K264" s="4">
        <v>45186</v>
      </c>
    </row>
    <row r="265" spans="5:11" x14ac:dyDescent="0.25">
      <c r="E265">
        <v>261</v>
      </c>
      <c r="F265" t="s">
        <v>31</v>
      </c>
      <c r="G265" t="s">
        <v>37</v>
      </c>
      <c r="H265" t="s">
        <v>23</v>
      </c>
      <c r="I265">
        <v>10129</v>
      </c>
      <c r="J265">
        <v>312</v>
      </c>
      <c r="K265" s="4">
        <v>45187</v>
      </c>
    </row>
    <row r="266" spans="5:11" x14ac:dyDescent="0.25">
      <c r="E266">
        <v>262</v>
      </c>
      <c r="F266" t="s">
        <v>34</v>
      </c>
      <c r="G266" t="s">
        <v>44</v>
      </c>
      <c r="H266" t="s">
        <v>21</v>
      </c>
      <c r="I266">
        <v>1652</v>
      </c>
      <c r="J266">
        <v>102</v>
      </c>
      <c r="K266" s="4">
        <v>45188</v>
      </c>
    </row>
    <row r="267" spans="5:11" x14ac:dyDescent="0.25">
      <c r="E267">
        <v>263</v>
      </c>
      <c r="F267" t="s">
        <v>29</v>
      </c>
      <c r="G267" t="s">
        <v>37</v>
      </c>
      <c r="H267" t="s">
        <v>14</v>
      </c>
      <c r="I267">
        <v>6433</v>
      </c>
      <c r="J267">
        <v>78</v>
      </c>
      <c r="K267" s="4">
        <v>45189</v>
      </c>
    </row>
    <row r="268" spans="5:11" x14ac:dyDescent="0.25">
      <c r="E268">
        <v>264</v>
      </c>
      <c r="F268" t="s">
        <v>34</v>
      </c>
      <c r="G268" t="s">
        <v>39</v>
      </c>
      <c r="H268" t="s">
        <v>16</v>
      </c>
      <c r="I268">
        <v>2212</v>
      </c>
      <c r="J268">
        <v>117</v>
      </c>
      <c r="K268" s="4">
        <v>45190</v>
      </c>
    </row>
    <row r="269" spans="5:11" x14ac:dyDescent="0.25">
      <c r="E269">
        <v>265</v>
      </c>
      <c r="F269" t="s">
        <v>30</v>
      </c>
      <c r="G269" t="s">
        <v>45</v>
      </c>
      <c r="H269" t="s">
        <v>12</v>
      </c>
      <c r="I269">
        <v>609</v>
      </c>
      <c r="J269">
        <v>99</v>
      </c>
      <c r="K269" s="4">
        <v>45191</v>
      </c>
    </row>
    <row r="270" spans="5:11" x14ac:dyDescent="0.25">
      <c r="E270">
        <v>266</v>
      </c>
      <c r="F270" t="s">
        <v>36</v>
      </c>
      <c r="G270" t="s">
        <v>45</v>
      </c>
      <c r="H270" t="s">
        <v>17</v>
      </c>
      <c r="I270">
        <v>1638</v>
      </c>
      <c r="J270">
        <v>48</v>
      </c>
      <c r="K270" s="4">
        <v>45192</v>
      </c>
    </row>
    <row r="271" spans="5:11" x14ac:dyDescent="0.25">
      <c r="E271">
        <v>267</v>
      </c>
      <c r="F271" t="s">
        <v>31</v>
      </c>
      <c r="G271" t="s">
        <v>39</v>
      </c>
      <c r="H271" t="s">
        <v>8</v>
      </c>
      <c r="I271">
        <v>3829</v>
      </c>
      <c r="J271">
        <v>24</v>
      </c>
      <c r="K271" s="4">
        <v>45193</v>
      </c>
    </row>
    <row r="272" spans="5:11" x14ac:dyDescent="0.25">
      <c r="E272">
        <v>268</v>
      </c>
      <c r="F272" t="s">
        <v>36</v>
      </c>
      <c r="G272" t="s">
        <v>44</v>
      </c>
      <c r="H272" t="s">
        <v>8</v>
      </c>
      <c r="I272">
        <v>5775</v>
      </c>
      <c r="J272">
        <v>42</v>
      </c>
      <c r="K272" s="4">
        <v>45194</v>
      </c>
    </row>
    <row r="273" spans="5:11" x14ac:dyDescent="0.25">
      <c r="E273">
        <v>269</v>
      </c>
      <c r="F273" t="s">
        <v>32</v>
      </c>
      <c r="G273" t="s">
        <v>45</v>
      </c>
      <c r="H273" t="s">
        <v>13</v>
      </c>
      <c r="I273">
        <v>1071</v>
      </c>
      <c r="J273">
        <v>270</v>
      </c>
      <c r="K273" s="4">
        <v>45195</v>
      </c>
    </row>
    <row r="274" spans="5:11" x14ac:dyDescent="0.25">
      <c r="E274">
        <v>270</v>
      </c>
      <c r="F274" t="s">
        <v>29</v>
      </c>
      <c r="G274" t="s">
        <v>38</v>
      </c>
      <c r="H274" t="s">
        <v>16</v>
      </c>
      <c r="I274">
        <v>5019</v>
      </c>
      <c r="J274">
        <v>150</v>
      </c>
      <c r="K274" s="4">
        <v>45196</v>
      </c>
    </row>
    <row r="275" spans="5:11" x14ac:dyDescent="0.25">
      <c r="E275">
        <v>271</v>
      </c>
      <c r="F275" t="s">
        <v>28</v>
      </c>
      <c r="G275" t="s">
        <v>40</v>
      </c>
      <c r="H275" t="s">
        <v>8</v>
      </c>
      <c r="I275">
        <v>2863</v>
      </c>
      <c r="J275">
        <v>42</v>
      </c>
      <c r="K275" s="4">
        <v>45197</v>
      </c>
    </row>
    <row r="276" spans="5:11" x14ac:dyDescent="0.25">
      <c r="E276">
        <v>272</v>
      </c>
      <c r="F276" t="s">
        <v>36</v>
      </c>
      <c r="G276" t="s">
        <v>45</v>
      </c>
      <c r="H276" t="s">
        <v>22</v>
      </c>
      <c r="I276">
        <v>1617</v>
      </c>
      <c r="J276">
        <v>126</v>
      </c>
      <c r="K276" s="4">
        <v>45198</v>
      </c>
    </row>
    <row r="277" spans="5:11" x14ac:dyDescent="0.25">
      <c r="E277">
        <v>273</v>
      </c>
      <c r="F277" t="s">
        <v>32</v>
      </c>
      <c r="G277" t="s">
        <v>40</v>
      </c>
      <c r="H277" t="s">
        <v>19</v>
      </c>
      <c r="I277">
        <v>6818</v>
      </c>
      <c r="J277">
        <v>6</v>
      </c>
      <c r="K277" s="4">
        <v>45199</v>
      </c>
    </row>
    <row r="278" spans="5:11" x14ac:dyDescent="0.25">
      <c r="E278">
        <v>274</v>
      </c>
      <c r="F278" t="s">
        <v>34</v>
      </c>
      <c r="G278" t="s">
        <v>45</v>
      </c>
      <c r="H278" t="s">
        <v>8</v>
      </c>
      <c r="I278">
        <v>6657</v>
      </c>
      <c r="J278">
        <v>276</v>
      </c>
      <c r="K278" s="4">
        <v>45200</v>
      </c>
    </row>
    <row r="279" spans="5:11" x14ac:dyDescent="0.25">
      <c r="E279">
        <v>275</v>
      </c>
      <c r="F279" t="s">
        <v>34</v>
      </c>
      <c r="G279" t="s">
        <v>39</v>
      </c>
      <c r="H279" t="s">
        <v>10</v>
      </c>
      <c r="I279">
        <v>2919</v>
      </c>
      <c r="J279">
        <v>93</v>
      </c>
      <c r="K279" s="4">
        <v>45201</v>
      </c>
    </row>
    <row r="280" spans="5:11" x14ac:dyDescent="0.25">
      <c r="E280">
        <v>276</v>
      </c>
      <c r="F280" t="s">
        <v>28</v>
      </c>
      <c r="G280" t="s">
        <v>38</v>
      </c>
      <c r="H280" t="s">
        <v>24</v>
      </c>
      <c r="I280">
        <v>3094</v>
      </c>
      <c r="J280">
        <v>246</v>
      </c>
      <c r="K280" s="4">
        <v>45202</v>
      </c>
    </row>
    <row r="281" spans="5:11" x14ac:dyDescent="0.25">
      <c r="E281">
        <v>277</v>
      </c>
      <c r="F281" t="s">
        <v>32</v>
      </c>
      <c r="G281" t="s">
        <v>44</v>
      </c>
      <c r="H281" t="s">
        <v>17</v>
      </c>
      <c r="I281">
        <v>2989</v>
      </c>
      <c r="J281">
        <v>3</v>
      </c>
      <c r="K281" s="4">
        <v>45203</v>
      </c>
    </row>
    <row r="282" spans="5:11" x14ac:dyDescent="0.25">
      <c r="E282">
        <v>278</v>
      </c>
      <c r="F282" t="s">
        <v>29</v>
      </c>
      <c r="G282" t="s">
        <v>37</v>
      </c>
      <c r="H282" t="s">
        <v>20</v>
      </c>
      <c r="I282">
        <v>2268</v>
      </c>
      <c r="J282">
        <v>63</v>
      </c>
      <c r="K282" s="4">
        <v>45204</v>
      </c>
    </row>
    <row r="283" spans="5:11" x14ac:dyDescent="0.25">
      <c r="E283">
        <v>279</v>
      </c>
      <c r="F283" t="s">
        <v>33</v>
      </c>
      <c r="G283" t="s">
        <v>45</v>
      </c>
      <c r="H283" t="s">
        <v>24</v>
      </c>
      <c r="I283">
        <v>4753</v>
      </c>
      <c r="J283">
        <v>246</v>
      </c>
      <c r="K283" s="4">
        <v>45205</v>
      </c>
    </row>
    <row r="284" spans="5:11" x14ac:dyDescent="0.25">
      <c r="E284">
        <v>280</v>
      </c>
      <c r="F284" t="s">
        <v>28</v>
      </c>
      <c r="G284" t="s">
        <v>39</v>
      </c>
      <c r="H284" t="s">
        <v>12</v>
      </c>
      <c r="I284">
        <v>7511</v>
      </c>
      <c r="J284">
        <v>120</v>
      </c>
      <c r="K284" s="4">
        <v>45206</v>
      </c>
    </row>
    <row r="285" spans="5:11" x14ac:dyDescent="0.25">
      <c r="E285">
        <v>281</v>
      </c>
      <c r="F285" t="s">
        <v>28</v>
      </c>
      <c r="G285" t="s">
        <v>37</v>
      </c>
      <c r="H285" t="s">
        <v>24</v>
      </c>
      <c r="I285">
        <v>4326</v>
      </c>
      <c r="J285">
        <v>348</v>
      </c>
      <c r="K285" s="4">
        <v>45207</v>
      </c>
    </row>
    <row r="286" spans="5:11" x14ac:dyDescent="0.25">
      <c r="E286">
        <v>282</v>
      </c>
      <c r="F286" t="s">
        <v>30</v>
      </c>
      <c r="G286" t="s">
        <v>39</v>
      </c>
      <c r="H286" t="s">
        <v>16</v>
      </c>
      <c r="I286">
        <v>4935</v>
      </c>
      <c r="J286">
        <v>126</v>
      </c>
      <c r="K286" s="4">
        <v>45208</v>
      </c>
    </row>
    <row r="287" spans="5:11" x14ac:dyDescent="0.25">
      <c r="E287">
        <v>283</v>
      </c>
      <c r="F287" t="s">
        <v>32</v>
      </c>
      <c r="G287" t="s">
        <v>45</v>
      </c>
      <c r="H287" t="s">
        <v>23</v>
      </c>
      <c r="I287">
        <v>4781</v>
      </c>
      <c r="J287">
        <v>123</v>
      </c>
      <c r="K287" s="4">
        <v>45209</v>
      </c>
    </row>
    <row r="288" spans="5:11" x14ac:dyDescent="0.25">
      <c r="E288">
        <v>284</v>
      </c>
      <c r="F288" t="s">
        <v>33</v>
      </c>
      <c r="G288" t="s">
        <v>37</v>
      </c>
      <c r="H288" t="s">
        <v>18</v>
      </c>
      <c r="I288">
        <v>7483</v>
      </c>
      <c r="J288">
        <v>45</v>
      </c>
      <c r="K288" s="4">
        <v>45210</v>
      </c>
    </row>
    <row r="289" spans="5:11" x14ac:dyDescent="0.25">
      <c r="E289">
        <v>285</v>
      </c>
      <c r="F289" t="s">
        <v>35</v>
      </c>
      <c r="G289" t="s">
        <v>37</v>
      </c>
      <c r="H289" t="s">
        <v>2</v>
      </c>
      <c r="I289">
        <v>6860</v>
      </c>
      <c r="J289">
        <v>126</v>
      </c>
      <c r="K289" s="4">
        <v>45211</v>
      </c>
    </row>
    <row r="290" spans="5:11" x14ac:dyDescent="0.25">
      <c r="E290">
        <v>286</v>
      </c>
      <c r="F290" t="s">
        <v>36</v>
      </c>
      <c r="G290" t="s">
        <v>40</v>
      </c>
      <c r="H290" t="s">
        <v>22</v>
      </c>
      <c r="I290">
        <v>9002</v>
      </c>
      <c r="J290">
        <v>72</v>
      </c>
      <c r="K290" s="4">
        <v>45212</v>
      </c>
    </row>
    <row r="291" spans="5:11" x14ac:dyDescent="0.25">
      <c r="E291">
        <v>287</v>
      </c>
      <c r="F291" t="s">
        <v>32</v>
      </c>
      <c r="G291" t="s">
        <v>38</v>
      </c>
      <c r="H291" t="s">
        <v>22</v>
      </c>
      <c r="I291">
        <v>1400</v>
      </c>
      <c r="J291">
        <v>135</v>
      </c>
      <c r="K291" s="4">
        <v>45213</v>
      </c>
    </row>
    <row r="292" spans="5:11" x14ac:dyDescent="0.25">
      <c r="E292">
        <v>288</v>
      </c>
      <c r="F292" t="s">
        <v>35</v>
      </c>
      <c r="G292" t="s">
        <v>39</v>
      </c>
      <c r="H292" t="s">
        <v>15</v>
      </c>
      <c r="I292">
        <v>4053</v>
      </c>
      <c r="J292">
        <v>24</v>
      </c>
      <c r="K292" s="4">
        <v>45214</v>
      </c>
    </row>
    <row r="293" spans="5:11" x14ac:dyDescent="0.25">
      <c r="E293">
        <v>289</v>
      </c>
      <c r="F293" t="s">
        <v>31</v>
      </c>
      <c r="G293" t="s">
        <v>38</v>
      </c>
      <c r="H293" t="s">
        <v>24</v>
      </c>
      <c r="I293">
        <v>2149</v>
      </c>
      <c r="J293">
        <v>117</v>
      </c>
      <c r="K293" s="4">
        <v>45215</v>
      </c>
    </row>
    <row r="294" spans="5:11" x14ac:dyDescent="0.25">
      <c r="E294">
        <v>290</v>
      </c>
      <c r="F294" t="s">
        <v>34</v>
      </c>
      <c r="G294" t="s">
        <v>44</v>
      </c>
      <c r="H294" t="s">
        <v>22</v>
      </c>
      <c r="I294">
        <v>3640</v>
      </c>
      <c r="J294">
        <v>51</v>
      </c>
      <c r="K294" s="4">
        <v>45216</v>
      </c>
    </row>
    <row r="295" spans="5:11" x14ac:dyDescent="0.25">
      <c r="E295">
        <v>291</v>
      </c>
      <c r="F295" t="s">
        <v>28</v>
      </c>
      <c r="G295" t="s">
        <v>44</v>
      </c>
      <c r="H295" t="s">
        <v>16</v>
      </c>
      <c r="I295">
        <v>630</v>
      </c>
      <c r="J295">
        <v>36</v>
      </c>
      <c r="K295" s="4">
        <v>45217</v>
      </c>
    </row>
    <row r="296" spans="5:11" x14ac:dyDescent="0.25">
      <c r="E296">
        <v>292</v>
      </c>
      <c r="F296" t="s">
        <v>3</v>
      </c>
      <c r="G296" t="s">
        <v>45</v>
      </c>
      <c r="H296" t="s">
        <v>20</v>
      </c>
      <c r="I296">
        <v>2429</v>
      </c>
      <c r="J296">
        <v>144</v>
      </c>
      <c r="K296" s="4">
        <v>45218</v>
      </c>
    </row>
    <row r="297" spans="5:11" x14ac:dyDescent="0.25">
      <c r="E297">
        <v>293</v>
      </c>
      <c r="F297" t="s">
        <v>3</v>
      </c>
      <c r="G297" t="s">
        <v>38</v>
      </c>
      <c r="H297" t="s">
        <v>18</v>
      </c>
      <c r="I297">
        <v>2142</v>
      </c>
      <c r="J297">
        <v>114</v>
      </c>
      <c r="K297" s="4">
        <v>45219</v>
      </c>
    </row>
    <row r="298" spans="5:11" x14ac:dyDescent="0.25">
      <c r="E298">
        <v>294</v>
      </c>
      <c r="F298" t="s">
        <v>31</v>
      </c>
      <c r="G298" t="s">
        <v>40</v>
      </c>
      <c r="H298" t="s">
        <v>23</v>
      </c>
      <c r="I298">
        <v>6454</v>
      </c>
      <c r="J298">
        <v>54</v>
      </c>
      <c r="K298" s="4">
        <v>45220</v>
      </c>
    </row>
    <row r="299" spans="5:11" x14ac:dyDescent="0.25">
      <c r="E299">
        <v>295</v>
      </c>
      <c r="F299" t="s">
        <v>31</v>
      </c>
      <c r="G299" t="s">
        <v>40</v>
      </c>
      <c r="H299" t="s">
        <v>9</v>
      </c>
      <c r="I299">
        <v>4487</v>
      </c>
      <c r="J299">
        <v>333</v>
      </c>
      <c r="K299" s="4">
        <v>45221</v>
      </c>
    </row>
    <row r="300" spans="5:11" x14ac:dyDescent="0.25">
      <c r="E300">
        <v>296</v>
      </c>
      <c r="F300" t="s">
        <v>34</v>
      </c>
      <c r="G300" t="s">
        <v>40</v>
      </c>
      <c r="H300" t="s">
        <v>2</v>
      </c>
      <c r="I300">
        <v>938</v>
      </c>
      <c r="J300">
        <v>366</v>
      </c>
      <c r="K300" s="4">
        <v>45222</v>
      </c>
    </row>
    <row r="301" spans="5:11" x14ac:dyDescent="0.25">
      <c r="E301">
        <v>297</v>
      </c>
      <c r="F301" t="s">
        <v>34</v>
      </c>
      <c r="G301" t="s">
        <v>37</v>
      </c>
      <c r="H301" t="s">
        <v>19</v>
      </c>
      <c r="I301">
        <v>8841</v>
      </c>
      <c r="J301">
        <v>303</v>
      </c>
      <c r="K301" s="4">
        <v>45223</v>
      </c>
    </row>
    <row r="302" spans="5:11" x14ac:dyDescent="0.25">
      <c r="E302">
        <v>298</v>
      </c>
      <c r="F302" t="s">
        <v>28</v>
      </c>
      <c r="G302" t="s">
        <v>44</v>
      </c>
      <c r="H302" t="s">
        <v>26</v>
      </c>
      <c r="I302">
        <v>4018</v>
      </c>
      <c r="J302">
        <v>126</v>
      </c>
      <c r="K302" s="4">
        <v>45224</v>
      </c>
    </row>
    <row r="303" spans="5:11" x14ac:dyDescent="0.25">
      <c r="E303">
        <v>299</v>
      </c>
      <c r="F303" t="s">
        <v>30</v>
      </c>
      <c r="G303" t="s">
        <v>40</v>
      </c>
      <c r="H303" t="s">
        <v>8</v>
      </c>
      <c r="I303">
        <v>714</v>
      </c>
      <c r="J303">
        <v>231</v>
      </c>
      <c r="K303" s="4">
        <v>45225</v>
      </c>
    </row>
    <row r="304" spans="5:11" x14ac:dyDescent="0.25">
      <c r="E304">
        <v>300</v>
      </c>
      <c r="F304" t="s">
        <v>3</v>
      </c>
      <c r="G304" t="s">
        <v>37</v>
      </c>
      <c r="H304" t="s">
        <v>18</v>
      </c>
      <c r="I304">
        <v>3850</v>
      </c>
      <c r="J304">
        <v>102</v>
      </c>
      <c r="K304" s="4">
        <v>45226</v>
      </c>
    </row>
    <row r="305" spans="5:11" x14ac:dyDescent="0.25">
      <c r="E305">
        <v>301</v>
      </c>
      <c r="F305" t="s">
        <v>28</v>
      </c>
      <c r="G305" t="s">
        <v>37</v>
      </c>
      <c r="H305" t="s">
        <v>24</v>
      </c>
      <c r="I305">
        <v>4326</v>
      </c>
      <c r="J305">
        <v>348</v>
      </c>
      <c r="K305" s="4">
        <v>45227</v>
      </c>
    </row>
    <row r="306" spans="5:11" x14ac:dyDescent="0.25">
      <c r="E306">
        <v>302</v>
      </c>
      <c r="F306" t="s">
        <v>30</v>
      </c>
      <c r="G306" t="s">
        <v>39</v>
      </c>
      <c r="H306" t="s">
        <v>16</v>
      </c>
      <c r="I306">
        <v>4935</v>
      </c>
      <c r="J306">
        <v>126</v>
      </c>
      <c r="K306" s="4">
        <v>45228</v>
      </c>
    </row>
    <row r="307" spans="5:11" x14ac:dyDescent="0.25">
      <c r="E307">
        <v>303</v>
      </c>
      <c r="F307" t="s">
        <v>32</v>
      </c>
      <c r="G307" t="s">
        <v>45</v>
      </c>
      <c r="H307" t="s">
        <v>23</v>
      </c>
      <c r="I307">
        <v>4781</v>
      </c>
      <c r="J307">
        <v>123</v>
      </c>
      <c r="K307" s="4">
        <v>45229</v>
      </c>
    </row>
    <row r="308" spans="5:11" x14ac:dyDescent="0.25">
      <c r="E308">
        <v>304</v>
      </c>
      <c r="F308" t="s">
        <v>33</v>
      </c>
      <c r="G308" t="s">
        <v>37</v>
      </c>
      <c r="H308" t="s">
        <v>18</v>
      </c>
      <c r="I308">
        <v>7483</v>
      </c>
      <c r="J308">
        <v>45</v>
      </c>
      <c r="K308" s="4">
        <v>45230</v>
      </c>
    </row>
    <row r="309" spans="5:11" x14ac:dyDescent="0.25">
      <c r="E309">
        <v>305</v>
      </c>
      <c r="F309" t="s">
        <v>35</v>
      </c>
      <c r="G309" t="s">
        <v>37</v>
      </c>
      <c r="H309" t="s">
        <v>2</v>
      </c>
      <c r="I309">
        <v>6860</v>
      </c>
      <c r="J309">
        <v>126</v>
      </c>
      <c r="K309" s="4">
        <v>45231</v>
      </c>
    </row>
    <row r="310" spans="5:11" x14ac:dyDescent="0.25">
      <c r="E310">
        <v>306</v>
      </c>
      <c r="F310" t="s">
        <v>28</v>
      </c>
      <c r="G310" t="s">
        <v>37</v>
      </c>
      <c r="H310" t="s">
        <v>24</v>
      </c>
      <c r="I310">
        <v>4326</v>
      </c>
      <c r="J310">
        <v>348</v>
      </c>
      <c r="K310" s="4">
        <v>45232</v>
      </c>
    </row>
    <row r="311" spans="5:11" x14ac:dyDescent="0.25">
      <c r="E311">
        <v>307</v>
      </c>
      <c r="F311" t="s">
        <v>30</v>
      </c>
      <c r="G311" t="s">
        <v>39</v>
      </c>
      <c r="H311" t="s">
        <v>16</v>
      </c>
      <c r="I311">
        <v>4935</v>
      </c>
      <c r="J311">
        <v>126</v>
      </c>
      <c r="K311" s="4">
        <v>45233</v>
      </c>
    </row>
    <row r="312" spans="5:11" x14ac:dyDescent="0.25">
      <c r="E312">
        <v>308</v>
      </c>
      <c r="F312" t="s">
        <v>32</v>
      </c>
      <c r="G312" t="s">
        <v>45</v>
      </c>
      <c r="H312" t="s">
        <v>23</v>
      </c>
      <c r="I312">
        <v>4781</v>
      </c>
      <c r="J312">
        <v>123</v>
      </c>
      <c r="K312" s="4">
        <v>45234</v>
      </c>
    </row>
    <row r="313" spans="5:11" x14ac:dyDescent="0.25">
      <c r="E313">
        <v>309</v>
      </c>
      <c r="F313" t="s">
        <v>33</v>
      </c>
      <c r="G313" t="s">
        <v>37</v>
      </c>
      <c r="H313" t="s">
        <v>18</v>
      </c>
      <c r="I313">
        <v>7483</v>
      </c>
      <c r="J313">
        <v>45</v>
      </c>
      <c r="K313" s="4">
        <v>45235</v>
      </c>
    </row>
    <row r="314" spans="5:11" x14ac:dyDescent="0.25">
      <c r="E314">
        <v>310</v>
      </c>
      <c r="F314" t="s">
        <v>35</v>
      </c>
      <c r="G314" t="s">
        <v>37</v>
      </c>
      <c r="H314" t="s">
        <v>2</v>
      </c>
      <c r="I314">
        <v>6860</v>
      </c>
      <c r="J314">
        <v>126</v>
      </c>
      <c r="K314" s="4">
        <v>45236</v>
      </c>
    </row>
    <row r="315" spans="5:11" x14ac:dyDescent="0.25">
      <c r="E315">
        <v>311</v>
      </c>
      <c r="F315" t="s">
        <v>28</v>
      </c>
      <c r="G315" t="s">
        <v>37</v>
      </c>
      <c r="H315" t="s">
        <v>24</v>
      </c>
      <c r="I315">
        <v>4326</v>
      </c>
      <c r="J315">
        <v>348</v>
      </c>
      <c r="K315" s="4">
        <v>45237</v>
      </c>
    </row>
    <row r="316" spans="5:11" x14ac:dyDescent="0.25">
      <c r="E316">
        <v>312</v>
      </c>
      <c r="F316" t="s">
        <v>30</v>
      </c>
      <c r="G316" t="s">
        <v>39</v>
      </c>
      <c r="H316" t="s">
        <v>16</v>
      </c>
      <c r="I316">
        <v>4935</v>
      </c>
      <c r="J316">
        <v>126</v>
      </c>
      <c r="K316" s="4">
        <v>45238</v>
      </c>
    </row>
    <row r="317" spans="5:11" x14ac:dyDescent="0.25">
      <c r="E317">
        <v>313</v>
      </c>
      <c r="F317" t="s">
        <v>32</v>
      </c>
      <c r="G317" t="s">
        <v>45</v>
      </c>
      <c r="H317" t="s">
        <v>23</v>
      </c>
      <c r="I317">
        <v>4781</v>
      </c>
      <c r="J317">
        <v>123</v>
      </c>
      <c r="K317" s="4">
        <v>45239</v>
      </c>
    </row>
    <row r="318" spans="5:11" x14ac:dyDescent="0.25">
      <c r="E318">
        <v>314</v>
      </c>
      <c r="F318" t="s">
        <v>33</v>
      </c>
      <c r="G318" t="s">
        <v>37</v>
      </c>
      <c r="H318" t="s">
        <v>18</v>
      </c>
      <c r="I318">
        <v>7483</v>
      </c>
      <c r="J318">
        <v>45</v>
      </c>
      <c r="K318" s="4">
        <v>45240</v>
      </c>
    </row>
    <row r="319" spans="5:11" x14ac:dyDescent="0.25">
      <c r="E319">
        <v>315</v>
      </c>
      <c r="F319" t="s">
        <v>35</v>
      </c>
      <c r="G319" t="s">
        <v>37</v>
      </c>
      <c r="H319" t="s">
        <v>2</v>
      </c>
      <c r="I319">
        <v>6860</v>
      </c>
      <c r="J319">
        <v>126</v>
      </c>
      <c r="K319" s="4">
        <v>45241</v>
      </c>
    </row>
    <row r="320" spans="5:11" x14ac:dyDescent="0.25">
      <c r="E320">
        <v>1</v>
      </c>
      <c r="F320" t="s">
        <v>36</v>
      </c>
      <c r="G320" t="s">
        <v>40</v>
      </c>
      <c r="H320" t="s">
        <v>23</v>
      </c>
      <c r="I320">
        <v>1624</v>
      </c>
      <c r="J320">
        <v>114</v>
      </c>
      <c r="K320" s="4">
        <v>44927</v>
      </c>
    </row>
    <row r="321" spans="5:11" x14ac:dyDescent="0.25">
      <c r="E321">
        <v>2</v>
      </c>
      <c r="F321" t="s">
        <v>29</v>
      </c>
      <c r="G321" t="s">
        <v>45</v>
      </c>
      <c r="H321" t="s">
        <v>25</v>
      </c>
      <c r="I321">
        <v>6706</v>
      </c>
      <c r="J321">
        <v>459</v>
      </c>
      <c r="K321" s="4">
        <v>44928</v>
      </c>
    </row>
    <row r="322" spans="5:11" x14ac:dyDescent="0.25">
      <c r="E322">
        <v>3</v>
      </c>
      <c r="F322" t="s">
        <v>3</v>
      </c>
      <c r="G322" t="s">
        <v>45</v>
      </c>
      <c r="H322" t="s">
        <v>2</v>
      </c>
      <c r="I322">
        <v>959</v>
      </c>
      <c r="J322">
        <v>147</v>
      </c>
      <c r="K322" s="4">
        <v>44929</v>
      </c>
    </row>
    <row r="323" spans="5:11" x14ac:dyDescent="0.25">
      <c r="E323">
        <v>4</v>
      </c>
      <c r="F323" t="s">
        <v>30</v>
      </c>
      <c r="G323" t="s">
        <v>38</v>
      </c>
      <c r="H323" t="s">
        <v>11</v>
      </c>
      <c r="I323">
        <v>9632</v>
      </c>
      <c r="J323">
        <v>288</v>
      </c>
      <c r="K323" s="4">
        <v>44930</v>
      </c>
    </row>
    <row r="324" spans="5:11" x14ac:dyDescent="0.25">
      <c r="E324">
        <v>5</v>
      </c>
      <c r="F324" t="s">
        <v>32</v>
      </c>
      <c r="G324" t="s">
        <v>43</v>
      </c>
      <c r="H324" t="s">
        <v>18</v>
      </c>
      <c r="I324">
        <v>2100</v>
      </c>
      <c r="J324">
        <v>414</v>
      </c>
      <c r="K324" s="4">
        <v>44931</v>
      </c>
    </row>
    <row r="325" spans="5:11" x14ac:dyDescent="0.25">
      <c r="E325">
        <v>6</v>
      </c>
      <c r="F325" t="s">
        <v>36</v>
      </c>
      <c r="G325" t="s">
        <v>45</v>
      </c>
      <c r="H325" t="s">
        <v>26</v>
      </c>
      <c r="I325">
        <v>8869</v>
      </c>
      <c r="J325">
        <v>432</v>
      </c>
      <c r="K325" s="4">
        <v>44932</v>
      </c>
    </row>
    <row r="326" spans="5:11" x14ac:dyDescent="0.25">
      <c r="E326">
        <v>7</v>
      </c>
      <c r="F326" t="s">
        <v>32</v>
      </c>
      <c r="G326" t="s">
        <v>37</v>
      </c>
      <c r="H326" t="s">
        <v>24</v>
      </c>
      <c r="I326">
        <v>2681</v>
      </c>
      <c r="J326">
        <v>54</v>
      </c>
      <c r="K326" s="4">
        <v>44933</v>
      </c>
    </row>
    <row r="327" spans="5:11" x14ac:dyDescent="0.25">
      <c r="E327">
        <v>1</v>
      </c>
      <c r="F327" t="s">
        <v>36</v>
      </c>
      <c r="G327" t="s">
        <v>40</v>
      </c>
      <c r="H327" t="s">
        <v>23</v>
      </c>
      <c r="I327">
        <v>1624</v>
      </c>
      <c r="J327">
        <v>114</v>
      </c>
      <c r="K327" s="4">
        <v>44927</v>
      </c>
    </row>
    <row r="328" spans="5:11" x14ac:dyDescent="0.25">
      <c r="E328">
        <v>2</v>
      </c>
      <c r="F328" t="s">
        <v>29</v>
      </c>
      <c r="G328" t="s">
        <v>45</v>
      </c>
      <c r="H328" t="s">
        <v>25</v>
      </c>
      <c r="I328">
        <v>6706</v>
      </c>
      <c r="J328">
        <v>459</v>
      </c>
      <c r="K328" s="4">
        <v>44928</v>
      </c>
    </row>
    <row r="329" spans="5:11" x14ac:dyDescent="0.25">
      <c r="E329">
        <v>3</v>
      </c>
      <c r="F329" t="s">
        <v>3</v>
      </c>
      <c r="G329" t="s">
        <v>45</v>
      </c>
      <c r="H329" t="s">
        <v>2</v>
      </c>
      <c r="I329">
        <v>959</v>
      </c>
      <c r="J329">
        <v>147</v>
      </c>
      <c r="K329" s="4">
        <v>44929</v>
      </c>
    </row>
    <row r="330" spans="5:11" x14ac:dyDescent="0.25">
      <c r="E330">
        <v>4</v>
      </c>
      <c r="F330" t="s">
        <v>30</v>
      </c>
      <c r="G330" t="s">
        <v>38</v>
      </c>
      <c r="H330" t="s">
        <v>11</v>
      </c>
      <c r="I330">
        <v>9632</v>
      </c>
      <c r="J330">
        <v>288</v>
      </c>
      <c r="K330" s="4">
        <v>44930</v>
      </c>
    </row>
    <row r="331" spans="5:11" x14ac:dyDescent="0.25">
      <c r="E331">
        <v>5</v>
      </c>
      <c r="F331" t="s">
        <v>32</v>
      </c>
      <c r="G331" t="s">
        <v>43</v>
      </c>
      <c r="H331" t="s">
        <v>18</v>
      </c>
      <c r="I331">
        <v>2100</v>
      </c>
      <c r="J331">
        <v>414</v>
      </c>
      <c r="K331" s="4">
        <v>44931</v>
      </c>
    </row>
    <row r="332" spans="5:11" x14ac:dyDescent="0.25">
      <c r="E332">
        <v>6</v>
      </c>
      <c r="F332" t="s">
        <v>36</v>
      </c>
      <c r="G332" t="s">
        <v>45</v>
      </c>
      <c r="H332" t="s">
        <v>26</v>
      </c>
      <c r="I332">
        <v>8869</v>
      </c>
      <c r="J332">
        <v>432</v>
      </c>
      <c r="K332" s="4">
        <v>44932</v>
      </c>
    </row>
    <row r="333" spans="5:11" x14ac:dyDescent="0.25">
      <c r="E333">
        <v>7</v>
      </c>
      <c r="F333" t="s">
        <v>32</v>
      </c>
      <c r="G333" t="s">
        <v>37</v>
      </c>
      <c r="H333" t="s">
        <v>24</v>
      </c>
      <c r="I333">
        <v>2681</v>
      </c>
      <c r="J333">
        <v>54</v>
      </c>
      <c r="K333" s="4">
        <v>44933</v>
      </c>
    </row>
    <row r="334" spans="5:11" x14ac:dyDescent="0.25">
      <c r="E334">
        <v>1</v>
      </c>
      <c r="F334" t="s">
        <v>36</v>
      </c>
      <c r="G334" t="s">
        <v>40</v>
      </c>
      <c r="H334" t="s">
        <v>23</v>
      </c>
      <c r="I334">
        <v>1624</v>
      </c>
      <c r="J334">
        <v>114</v>
      </c>
      <c r="K334" s="4">
        <v>44927</v>
      </c>
    </row>
    <row r="335" spans="5:11" x14ac:dyDescent="0.25">
      <c r="E335">
        <v>2</v>
      </c>
      <c r="F335" t="s">
        <v>29</v>
      </c>
      <c r="G335" t="s">
        <v>45</v>
      </c>
      <c r="H335" t="s">
        <v>25</v>
      </c>
      <c r="I335">
        <v>6706</v>
      </c>
      <c r="J335">
        <v>459</v>
      </c>
      <c r="K335" s="4">
        <v>44928</v>
      </c>
    </row>
    <row r="336" spans="5:11" x14ac:dyDescent="0.25">
      <c r="E336">
        <v>3</v>
      </c>
      <c r="F336" t="s">
        <v>3</v>
      </c>
      <c r="G336" t="s">
        <v>45</v>
      </c>
      <c r="H336" t="s">
        <v>2</v>
      </c>
      <c r="I336">
        <v>959</v>
      </c>
      <c r="J336">
        <v>147</v>
      </c>
      <c r="K336" s="4">
        <v>44929</v>
      </c>
    </row>
    <row r="337" spans="5:11" x14ac:dyDescent="0.25">
      <c r="E337">
        <v>4</v>
      </c>
      <c r="F337" t="s">
        <v>30</v>
      </c>
      <c r="G337" t="s">
        <v>38</v>
      </c>
      <c r="H337" t="s">
        <v>11</v>
      </c>
      <c r="I337">
        <v>9632</v>
      </c>
      <c r="J337">
        <v>288</v>
      </c>
      <c r="K337" s="4">
        <v>44930</v>
      </c>
    </row>
    <row r="338" spans="5:11" x14ac:dyDescent="0.25">
      <c r="E338">
        <v>5</v>
      </c>
      <c r="F338" t="s">
        <v>32</v>
      </c>
      <c r="G338" t="s">
        <v>43</v>
      </c>
      <c r="H338" t="s">
        <v>18</v>
      </c>
      <c r="I338">
        <v>2100</v>
      </c>
      <c r="J338">
        <v>414</v>
      </c>
      <c r="K338" s="4">
        <v>44931</v>
      </c>
    </row>
    <row r="339" spans="5:11" x14ac:dyDescent="0.25">
      <c r="E339">
        <v>6</v>
      </c>
      <c r="F339" t="s">
        <v>36</v>
      </c>
      <c r="G339" t="s">
        <v>45</v>
      </c>
      <c r="H339" t="s">
        <v>26</v>
      </c>
      <c r="I339">
        <v>8869</v>
      </c>
      <c r="J339">
        <v>432</v>
      </c>
      <c r="K339" s="4">
        <v>44932</v>
      </c>
    </row>
    <row r="340" spans="5:11" x14ac:dyDescent="0.25">
      <c r="E340">
        <v>7</v>
      </c>
      <c r="F340" t="s">
        <v>32</v>
      </c>
      <c r="G340" t="s">
        <v>37</v>
      </c>
      <c r="H340" t="s">
        <v>24</v>
      </c>
      <c r="I340">
        <v>2681</v>
      </c>
      <c r="J340">
        <v>54</v>
      </c>
      <c r="K340" s="4">
        <v>44933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2:D18"/>
  <sheetViews>
    <sheetView topLeftCell="A2" zoomScale="85" zoomScaleNormal="85" workbookViewId="0">
      <selection activeCell="B3" sqref="B3:Y18"/>
    </sheetView>
  </sheetViews>
  <sheetFormatPr defaultColWidth="8.85546875" defaultRowHeight="15" x14ac:dyDescent="0.25"/>
  <cols>
    <col min="1" max="1" width="1.7109375" style="2" customWidth="1"/>
    <col min="2" max="2" width="8.28515625" style="2" customWidth="1"/>
    <col min="3" max="3" width="14.28515625" style="2" customWidth="1"/>
    <col min="4" max="16384" width="8.85546875" style="2"/>
  </cols>
  <sheetData>
    <row r="2" spans="3:4" ht="8.4499999999999993" customHeight="1" x14ac:dyDescent="0.25"/>
    <row r="3" spans="3:4" ht="22.9" customHeight="1" x14ac:dyDescent="0.35">
      <c r="C3" s="1" t="s">
        <v>48</v>
      </c>
    </row>
    <row r="4" spans="3:4" ht="19.899999999999999" customHeight="1" x14ac:dyDescent="0.3">
      <c r="C4" s="3" t="s">
        <v>58</v>
      </c>
    </row>
    <row r="5" spans="3:4" ht="26.45" customHeight="1" x14ac:dyDescent="0.3">
      <c r="C5" s="3" t="s">
        <v>49</v>
      </c>
    </row>
    <row r="6" spans="3:4" ht="26.45" customHeight="1" x14ac:dyDescent="0.3">
      <c r="C6" s="3" t="s">
        <v>69</v>
      </c>
    </row>
    <row r="7" spans="3:4" ht="33.6" customHeight="1" x14ac:dyDescent="0.3">
      <c r="C7" s="3" t="s">
        <v>68</v>
      </c>
    </row>
    <row r="8" spans="3:4" ht="33.6" customHeight="1" x14ac:dyDescent="0.3">
      <c r="C8" s="3" t="s">
        <v>77</v>
      </c>
    </row>
    <row r="9" spans="3:4" ht="33.6" customHeight="1" x14ac:dyDescent="0.3">
      <c r="C9" s="3"/>
    </row>
    <row r="10" spans="3:4" ht="15" customHeight="1" x14ac:dyDescent="0.25"/>
    <row r="11" spans="3:4" ht="21" x14ac:dyDescent="0.35">
      <c r="C11" s="1" t="s">
        <v>50</v>
      </c>
    </row>
    <row r="12" spans="3:4" ht="21.6" customHeight="1" x14ac:dyDescent="0.25">
      <c r="C12" t="s">
        <v>47</v>
      </c>
      <c r="D12" s="2" t="s">
        <v>51</v>
      </c>
    </row>
    <row r="13" spans="3:4" ht="21.6" customHeight="1" x14ac:dyDescent="0.25">
      <c r="C13" t="s">
        <v>4</v>
      </c>
      <c r="D13" s="2" t="s">
        <v>52</v>
      </c>
    </row>
    <row r="14" spans="3:4" ht="21.6" customHeight="1" x14ac:dyDescent="0.25">
      <c r="C14" t="s">
        <v>5</v>
      </c>
      <c r="D14" s="2" t="s">
        <v>53</v>
      </c>
    </row>
    <row r="15" spans="3:4" ht="21.6" customHeight="1" x14ac:dyDescent="0.25">
      <c r="C15" t="s">
        <v>0</v>
      </c>
      <c r="D15" s="2" t="s">
        <v>54</v>
      </c>
    </row>
    <row r="16" spans="3:4" ht="21.6" customHeight="1" x14ac:dyDescent="0.25">
      <c r="C16" t="s">
        <v>1</v>
      </c>
      <c r="D16" s="2" t="s">
        <v>55</v>
      </c>
    </row>
    <row r="17" spans="3:4" ht="21.6" customHeight="1" x14ac:dyDescent="0.25">
      <c r="C17" t="s">
        <v>27</v>
      </c>
      <c r="D17" s="2" t="s">
        <v>56</v>
      </c>
    </row>
    <row r="18" spans="3:4" ht="21.6" customHeight="1" x14ac:dyDescent="0.25">
      <c r="C18" t="s">
        <v>46</v>
      </c>
      <c r="D18" s="2" t="s">
        <v>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2:K18"/>
  <sheetViews>
    <sheetView workbookViewId="0">
      <selection activeCell="I3" sqref="I3"/>
    </sheetView>
  </sheetViews>
  <sheetFormatPr defaultColWidth="8.85546875" defaultRowHeight="36.6" customHeight="1" x14ac:dyDescent="0.25"/>
  <cols>
    <col min="1" max="2" width="8.85546875" style="2"/>
    <col min="3" max="3" width="48.7109375" style="2" bestFit="1" customWidth="1"/>
    <col min="4" max="16384" width="8.85546875" style="2"/>
  </cols>
  <sheetData>
    <row r="2" spans="3:11" ht="36.6" customHeight="1" x14ac:dyDescent="0.25">
      <c r="C2" s="17" t="s">
        <v>76</v>
      </c>
      <c r="D2" s="17"/>
      <c r="E2" s="17"/>
      <c r="F2" s="17"/>
      <c r="G2" s="17"/>
      <c r="H2" s="17"/>
      <c r="I2" s="17"/>
      <c r="J2" s="17"/>
      <c r="K2" s="17"/>
    </row>
    <row r="4" spans="3:11" ht="36.6" customHeight="1" x14ac:dyDescent="0.25">
      <c r="C4" s="5" t="s">
        <v>70</v>
      </c>
      <c r="E4" s="16"/>
      <c r="F4" s="16"/>
      <c r="G4" s="16"/>
      <c r="H4" s="16"/>
      <c r="I4" s="16"/>
      <c r="J4" s="16"/>
      <c r="K4" s="16"/>
    </row>
    <row r="5" spans="3:11" ht="36.6" customHeight="1" x14ac:dyDescent="0.25">
      <c r="C5" s="5" t="s">
        <v>71</v>
      </c>
      <c r="E5" s="16"/>
      <c r="F5" s="16"/>
      <c r="G5" s="16"/>
      <c r="H5" s="16"/>
      <c r="I5" s="16"/>
      <c r="J5" s="16"/>
      <c r="K5" s="16"/>
    </row>
    <row r="6" spans="3:11" ht="36.6" customHeight="1" x14ac:dyDescent="0.25">
      <c r="C6" s="5" t="s">
        <v>72</v>
      </c>
      <c r="E6" s="16"/>
      <c r="F6" s="16"/>
      <c r="G6" s="16"/>
      <c r="H6" s="16"/>
      <c r="I6" s="16"/>
      <c r="J6" s="16"/>
      <c r="K6" s="16"/>
    </row>
    <row r="7" spans="3:11" ht="36.6" customHeight="1" x14ac:dyDescent="0.25">
      <c r="C7" s="5" t="s">
        <v>74</v>
      </c>
      <c r="E7" s="16"/>
      <c r="F7" s="16"/>
      <c r="G7" s="16"/>
      <c r="H7" s="16"/>
      <c r="I7" s="16"/>
      <c r="J7" s="16"/>
      <c r="K7" s="16"/>
    </row>
    <row r="8" spans="3:11" ht="36.6" customHeight="1" x14ac:dyDescent="0.25">
      <c r="C8" s="5" t="s">
        <v>75</v>
      </c>
      <c r="E8" s="16"/>
      <c r="F8" s="16"/>
      <c r="G8" s="16"/>
      <c r="H8" s="16"/>
      <c r="I8" s="16"/>
      <c r="J8" s="16"/>
      <c r="K8" s="16"/>
    </row>
    <row r="9" spans="3:11" ht="36.6" customHeight="1" x14ac:dyDescent="0.25">
      <c r="C9" s="5" t="s">
        <v>73</v>
      </c>
      <c r="E9" s="16"/>
      <c r="F9" s="16"/>
      <c r="G9" s="16"/>
      <c r="H9" s="16"/>
      <c r="I9" s="16"/>
      <c r="J9" s="16"/>
      <c r="K9" s="16"/>
    </row>
    <row r="10" spans="3:11" ht="36.6" customHeight="1" x14ac:dyDescent="0.25">
      <c r="C10" s="5" t="s">
        <v>59</v>
      </c>
      <c r="E10" s="16"/>
      <c r="F10" s="16"/>
      <c r="G10" s="16"/>
      <c r="H10" s="16"/>
      <c r="I10" s="16"/>
      <c r="J10" s="16"/>
      <c r="K10" s="16"/>
    </row>
    <row r="11" spans="3:11" ht="36.6" customHeight="1" x14ac:dyDescent="0.25">
      <c r="C11" s="5" t="s">
        <v>60</v>
      </c>
      <c r="E11" s="16"/>
      <c r="F11" s="16"/>
      <c r="G11" s="16"/>
      <c r="H11" s="16"/>
      <c r="I11" s="16"/>
      <c r="J11" s="16"/>
      <c r="K11" s="16"/>
    </row>
    <row r="12" spans="3:11" ht="36.6" customHeight="1" x14ac:dyDescent="0.25">
      <c r="C12" s="5" t="s">
        <v>61</v>
      </c>
      <c r="E12" s="16"/>
      <c r="F12" s="16"/>
      <c r="G12" s="16"/>
      <c r="H12" s="16"/>
      <c r="I12" s="16"/>
      <c r="J12" s="16"/>
      <c r="K12" s="16"/>
    </row>
    <row r="13" spans="3:11" ht="36.6" customHeight="1" x14ac:dyDescent="0.25">
      <c r="C13" s="5" t="s">
        <v>62</v>
      </c>
      <c r="E13" s="16"/>
      <c r="F13" s="16"/>
      <c r="G13" s="16"/>
      <c r="H13" s="16"/>
      <c r="I13" s="16"/>
      <c r="J13" s="16"/>
      <c r="K13" s="16"/>
    </row>
    <row r="14" spans="3:11" ht="36.6" customHeight="1" x14ac:dyDescent="0.25">
      <c r="C14" s="5" t="s">
        <v>63</v>
      </c>
      <c r="E14" s="16"/>
      <c r="F14" s="16"/>
      <c r="G14" s="16"/>
      <c r="H14" s="16"/>
      <c r="I14" s="16"/>
      <c r="J14" s="16"/>
      <c r="K14" s="16"/>
    </row>
    <row r="15" spans="3:11" ht="36.6" customHeight="1" x14ac:dyDescent="0.25">
      <c r="C15" s="5" t="s">
        <v>64</v>
      </c>
      <c r="E15" s="16"/>
      <c r="F15" s="16"/>
      <c r="G15" s="16"/>
      <c r="H15" s="16"/>
      <c r="I15" s="16"/>
      <c r="J15" s="16"/>
      <c r="K15" s="16"/>
    </row>
    <row r="16" spans="3:11" ht="36.6" customHeight="1" x14ac:dyDescent="0.25">
      <c r="C16" s="5" t="s">
        <v>65</v>
      </c>
      <c r="E16" s="16"/>
      <c r="F16" s="16"/>
      <c r="G16" s="16"/>
      <c r="H16" s="16"/>
      <c r="I16" s="16"/>
      <c r="J16" s="16"/>
      <c r="K16" s="16"/>
    </row>
    <row r="17" spans="3:11" ht="36.6" customHeight="1" x14ac:dyDescent="0.25">
      <c r="C17" s="5" t="s">
        <v>66</v>
      </c>
      <c r="E17" s="16"/>
      <c r="F17" s="16"/>
      <c r="G17" s="16"/>
      <c r="H17" s="16"/>
      <c r="I17" s="16"/>
      <c r="J17" s="16"/>
      <c r="K17" s="16"/>
    </row>
    <row r="18" spans="3:11" ht="36.6" customHeight="1" x14ac:dyDescent="0.25">
      <c r="C18" s="5" t="s">
        <v>67</v>
      </c>
      <c r="E18" s="16"/>
      <c r="F18" s="16"/>
      <c r="G18" s="16"/>
      <c r="H18" s="16"/>
      <c r="I18" s="16"/>
      <c r="J18" s="16"/>
      <c r="K18" s="16"/>
    </row>
  </sheetData>
  <mergeCells count="16">
    <mergeCell ref="E16:K16"/>
    <mergeCell ref="E17:K17"/>
    <mergeCell ref="E18:K18"/>
    <mergeCell ref="C2:K2"/>
    <mergeCell ref="E10:K10"/>
    <mergeCell ref="E11:K11"/>
    <mergeCell ref="E12:K12"/>
    <mergeCell ref="E13:K13"/>
    <mergeCell ref="E14:K14"/>
    <mergeCell ref="E15:K15"/>
    <mergeCell ref="E4:K4"/>
    <mergeCell ref="E5:K5"/>
    <mergeCell ref="E6:K6"/>
    <mergeCell ref="E7:K7"/>
    <mergeCell ref="E8:K8"/>
    <mergeCell ref="E9:K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C4EBF-00F9-416F-A582-E8129E3A4870}">
  <dimension ref="E4:X319"/>
  <sheetViews>
    <sheetView topLeftCell="D3" zoomScale="110" zoomScaleNormal="110" workbookViewId="0">
      <selection activeCell="E3" sqref="E3:Q30"/>
    </sheetView>
  </sheetViews>
  <sheetFormatPr defaultRowHeight="15" x14ac:dyDescent="0.25"/>
  <cols>
    <col min="1" max="1" width="2.42578125" customWidth="1"/>
    <col min="2" max="2" width="4.85546875" customWidth="1"/>
    <col min="3" max="3" width="9.7109375" customWidth="1"/>
    <col min="4" max="4" width="7.5703125" customWidth="1"/>
    <col min="5" max="5" width="9.7109375" customWidth="1"/>
    <col min="6" max="6" width="22.5703125" bestFit="1" customWidth="1"/>
    <col min="7" max="7" width="11.5703125" customWidth="1"/>
    <col min="8" max="8" width="20.7109375" bestFit="1" customWidth="1"/>
    <col min="9" max="9" width="11.5703125" customWidth="1"/>
    <col min="10" max="10" width="6.7109375" customWidth="1"/>
    <col min="11" max="11" width="12" customWidth="1"/>
    <col min="12" max="12" width="14" customWidth="1"/>
    <col min="15" max="15" width="11" customWidth="1"/>
    <col min="16" max="16" width="9.140625" customWidth="1"/>
    <col min="17" max="17" width="10.42578125" bestFit="1" customWidth="1"/>
    <col min="20" max="20" width="21.85546875" bestFit="1" customWidth="1"/>
  </cols>
  <sheetData>
    <row r="4" spans="5:24" x14ac:dyDescent="0.25">
      <c r="E4" t="s">
        <v>47</v>
      </c>
      <c r="F4" t="s">
        <v>4</v>
      </c>
      <c r="G4" t="s">
        <v>5</v>
      </c>
      <c r="H4" t="s">
        <v>0</v>
      </c>
      <c r="I4" t="s">
        <v>78</v>
      </c>
      <c r="J4" t="s">
        <v>27</v>
      </c>
      <c r="K4" s="8" t="s">
        <v>46</v>
      </c>
      <c r="L4" t="s">
        <v>79</v>
      </c>
      <c r="M4" t="s">
        <v>80</v>
      </c>
      <c r="N4" t="s">
        <v>81</v>
      </c>
      <c r="O4" t="s">
        <v>82</v>
      </c>
      <c r="P4" t="s">
        <v>83</v>
      </c>
      <c r="Q4" t="s">
        <v>84</v>
      </c>
      <c r="T4" t="s">
        <v>95</v>
      </c>
      <c r="X4" t="s">
        <v>5</v>
      </c>
    </row>
    <row r="5" spans="5:24" x14ac:dyDescent="0.25">
      <c r="E5">
        <v>1</v>
      </c>
      <c r="F5" t="s">
        <v>36</v>
      </c>
      <c r="G5" t="s">
        <v>40</v>
      </c>
      <c r="H5" t="s">
        <v>23</v>
      </c>
      <c r="I5">
        <v>1624</v>
      </c>
      <c r="J5">
        <v>114</v>
      </c>
      <c r="K5" s="8">
        <v>44927</v>
      </c>
      <c r="L5">
        <f>Table1[[#This Row],[unit price]]*Table1[[#This Row],[Units]]</f>
        <v>185136</v>
      </c>
      <c r="M5" t="str">
        <f>TEXT(Table1[[#This Row],[Order date ]],"dddd")</f>
        <v>الأحد</v>
      </c>
      <c r="N5">
        <f>MONTH(Table1[[#This Row],[Order date ]])</f>
        <v>1</v>
      </c>
      <c r="O5" t="str">
        <f>TEXT(Table1[[#This Row],[Order date ]],"mmm")</f>
        <v>يناير</v>
      </c>
      <c r="P5">
        <f>ROUNDUP(Table1[[#This Row],[month]]/3,0)</f>
        <v>1</v>
      </c>
      <c r="Q5" t="str">
        <f>"Q"&amp;ROUNDUP(Table1[[#This Row],[month]]/3,0)</f>
        <v>Q1</v>
      </c>
      <c r="T5" s="6" t="s">
        <v>36</v>
      </c>
      <c r="X5" s="6" t="s">
        <v>40</v>
      </c>
    </row>
    <row r="6" spans="5:24" x14ac:dyDescent="0.25">
      <c r="E6">
        <v>2</v>
      </c>
      <c r="F6" t="s">
        <v>29</v>
      </c>
      <c r="G6" t="s">
        <v>45</v>
      </c>
      <c r="H6" t="s">
        <v>25</v>
      </c>
      <c r="I6">
        <v>6706</v>
      </c>
      <c r="J6">
        <v>459</v>
      </c>
      <c r="K6" s="8">
        <v>44928</v>
      </c>
      <c r="L6">
        <f>Table1[[#This Row],[unit price]]*Table1[[#This Row],[Units]]</f>
        <v>3078054</v>
      </c>
      <c r="M6" t="str">
        <f>TEXT(Table1[[#This Row],[Order date ]],"dddd")</f>
        <v>الإثنين</v>
      </c>
      <c r="N6">
        <f>MONTH(Table1[[#This Row],[Order date ]])</f>
        <v>1</v>
      </c>
      <c r="O6" t="str">
        <f>TEXT(Table1[[#This Row],[Order date ]],"mmm")</f>
        <v>يناير</v>
      </c>
      <c r="P6">
        <f>ROUNDUP(Table1[[#This Row],[month]]/3,0)</f>
        <v>1</v>
      </c>
      <c r="Q6" t="str">
        <f>"Q"&amp;ROUNDUP(Table1[[#This Row],[month]]/3,0)</f>
        <v>Q1</v>
      </c>
      <c r="T6" s="7" t="s">
        <v>29</v>
      </c>
      <c r="X6" s="7" t="s">
        <v>45</v>
      </c>
    </row>
    <row r="7" spans="5:24" x14ac:dyDescent="0.25">
      <c r="E7">
        <v>3</v>
      </c>
      <c r="F7" t="s">
        <v>3</v>
      </c>
      <c r="G7" t="s">
        <v>45</v>
      </c>
      <c r="H7" t="s">
        <v>2</v>
      </c>
      <c r="I7">
        <v>959</v>
      </c>
      <c r="J7">
        <v>147</v>
      </c>
      <c r="K7" s="8">
        <v>44929</v>
      </c>
      <c r="L7">
        <f>Table1[[#This Row],[unit price]]*Table1[[#This Row],[Units]]</f>
        <v>140973</v>
      </c>
      <c r="M7" t="str">
        <f>TEXT(Table1[[#This Row],[Order date ]],"dddd")</f>
        <v>الثلاثاء</v>
      </c>
      <c r="N7">
        <f>MONTH(Table1[[#This Row],[Order date ]])</f>
        <v>1</v>
      </c>
      <c r="O7" t="str">
        <f>TEXT(Table1[[#This Row],[Order date ]],"mmm")</f>
        <v>يناير</v>
      </c>
      <c r="P7">
        <f>ROUNDUP(Table1[[#This Row],[month]]/3,0)</f>
        <v>1</v>
      </c>
      <c r="Q7" t="str">
        <f>"Q"&amp;ROUNDUP(Table1[[#This Row],[month]]/3,0)</f>
        <v>Q1</v>
      </c>
      <c r="T7" s="6" t="s">
        <v>3</v>
      </c>
      <c r="X7" s="7" t="s">
        <v>38</v>
      </c>
    </row>
    <row r="8" spans="5:24" x14ac:dyDescent="0.25">
      <c r="E8">
        <v>4</v>
      </c>
      <c r="F8" t="s">
        <v>30</v>
      </c>
      <c r="G8" t="s">
        <v>38</v>
      </c>
      <c r="H8" t="s">
        <v>11</v>
      </c>
      <c r="I8">
        <v>9632</v>
      </c>
      <c r="J8">
        <v>288</v>
      </c>
      <c r="K8" s="8">
        <v>44930</v>
      </c>
      <c r="L8">
        <f>Table1[[#This Row],[unit price]]*Table1[[#This Row],[Units]]</f>
        <v>2774016</v>
      </c>
      <c r="M8" t="str">
        <f>TEXT(Table1[[#This Row],[Order date ]],"dddd")</f>
        <v>الأربعاء</v>
      </c>
      <c r="N8">
        <f>MONTH(Table1[[#This Row],[Order date ]])</f>
        <v>1</v>
      </c>
      <c r="O8" t="str">
        <f>TEXT(Table1[[#This Row],[Order date ]],"mmm")</f>
        <v>يناير</v>
      </c>
      <c r="P8">
        <f>ROUNDUP(Table1[[#This Row],[month]]/3,0)</f>
        <v>1</v>
      </c>
      <c r="Q8" t="str">
        <f>"Q"&amp;ROUNDUP(Table1[[#This Row],[month]]/3,0)</f>
        <v>Q1</v>
      </c>
      <c r="T8" s="7" t="s">
        <v>30</v>
      </c>
      <c r="X8" s="6" t="s">
        <v>43</v>
      </c>
    </row>
    <row r="9" spans="5:24" x14ac:dyDescent="0.25">
      <c r="E9">
        <v>5</v>
      </c>
      <c r="F9" t="s">
        <v>32</v>
      </c>
      <c r="G9" t="s">
        <v>43</v>
      </c>
      <c r="H9" t="s">
        <v>18</v>
      </c>
      <c r="I9">
        <v>2100</v>
      </c>
      <c r="J9">
        <v>414</v>
      </c>
      <c r="K9" s="8">
        <v>44931</v>
      </c>
      <c r="L9">
        <f>Table1[[#This Row],[unit price]]*Table1[[#This Row],[Units]]</f>
        <v>869400</v>
      </c>
      <c r="M9" t="str">
        <f>TEXT(Table1[[#This Row],[Order date ]],"dddd")</f>
        <v>الخميس</v>
      </c>
      <c r="N9">
        <f>MONTH(Table1[[#This Row],[Order date ]])</f>
        <v>1</v>
      </c>
      <c r="O9" t="str">
        <f>TEXT(Table1[[#This Row],[Order date ]],"mmm")</f>
        <v>يناير</v>
      </c>
      <c r="P9">
        <f>ROUNDUP(Table1[[#This Row],[month]]/3,0)</f>
        <v>1</v>
      </c>
      <c r="Q9" t="str">
        <f>"Q"&amp;ROUNDUP(Table1[[#This Row],[month]]/3,0)</f>
        <v>Q1</v>
      </c>
      <c r="T9" s="6" t="s">
        <v>32</v>
      </c>
      <c r="X9" s="6" t="s">
        <v>37</v>
      </c>
    </row>
    <row r="10" spans="5:24" x14ac:dyDescent="0.25">
      <c r="E10">
        <v>6</v>
      </c>
      <c r="F10" t="s">
        <v>36</v>
      </c>
      <c r="G10" t="s">
        <v>45</v>
      </c>
      <c r="H10" t="s">
        <v>26</v>
      </c>
      <c r="I10">
        <v>8869</v>
      </c>
      <c r="J10">
        <v>432</v>
      </c>
      <c r="K10" s="8">
        <v>44932</v>
      </c>
      <c r="L10">
        <f>Table1[[#This Row],[unit price]]*Table1[[#This Row],[Units]]</f>
        <v>3831408</v>
      </c>
      <c r="M10" t="str">
        <f>TEXT(Table1[[#This Row],[Order date ]],"dddd")</f>
        <v>الجمعة</v>
      </c>
      <c r="N10">
        <f>MONTH(Table1[[#This Row],[Order date ]])</f>
        <v>1</v>
      </c>
      <c r="O10" t="str">
        <f>TEXT(Table1[[#This Row],[Order date ]],"mmm")</f>
        <v>يناير</v>
      </c>
      <c r="P10">
        <f>ROUNDUP(Table1[[#This Row],[month]]/3,0)</f>
        <v>1</v>
      </c>
      <c r="Q10" t="str">
        <f>"Q"&amp;ROUNDUP(Table1[[#This Row],[month]]/3,0)</f>
        <v>Q1</v>
      </c>
      <c r="T10" s="6" t="s">
        <v>31</v>
      </c>
      <c r="X10" s="7" t="s">
        <v>40</v>
      </c>
    </row>
    <row r="11" spans="5:24" x14ac:dyDescent="0.25">
      <c r="E11">
        <v>7</v>
      </c>
      <c r="F11" t="s">
        <v>32</v>
      </c>
      <c r="G11" t="s">
        <v>37</v>
      </c>
      <c r="H11" t="s">
        <v>24</v>
      </c>
      <c r="I11">
        <v>2681</v>
      </c>
      <c r="J11">
        <v>54</v>
      </c>
      <c r="K11" s="8">
        <v>44933</v>
      </c>
      <c r="L11">
        <f>Table1[[#This Row],[unit price]]*Table1[[#This Row],[Units]]</f>
        <v>144774</v>
      </c>
      <c r="M11" t="str">
        <f>TEXT(Table1[[#This Row],[Order date ]],"dddd")</f>
        <v>السبت</v>
      </c>
      <c r="N11">
        <f>MONTH(Table1[[#This Row],[Order date ]])</f>
        <v>1</v>
      </c>
      <c r="O11" t="str">
        <f>TEXT(Table1[[#This Row],[Order date ]],"mmm")</f>
        <v>يناير</v>
      </c>
      <c r="P11">
        <f>ROUNDUP(Table1[[#This Row],[month]]/3,0)</f>
        <v>1</v>
      </c>
      <c r="Q11" t="str">
        <f>"Q"&amp;ROUNDUP(Table1[[#This Row],[month]]/3,0)</f>
        <v>Q1</v>
      </c>
      <c r="T11" s="7" t="s">
        <v>33</v>
      </c>
      <c r="X11" s="7" t="s">
        <v>39</v>
      </c>
    </row>
    <row r="12" spans="5:24" x14ac:dyDescent="0.25">
      <c r="E12">
        <v>8</v>
      </c>
      <c r="F12" t="s">
        <v>29</v>
      </c>
      <c r="G12" t="s">
        <v>45</v>
      </c>
      <c r="H12" t="s">
        <v>15</v>
      </c>
      <c r="I12">
        <v>5012</v>
      </c>
      <c r="J12">
        <v>210</v>
      </c>
      <c r="K12" s="8">
        <v>44934</v>
      </c>
      <c r="L12">
        <f>Table1[[#This Row],[unit price]]*Table1[[#This Row],[Units]]</f>
        <v>1052520</v>
      </c>
      <c r="M12" t="str">
        <f>TEXT(Table1[[#This Row],[Order date ]],"dddd")</f>
        <v>الأحد</v>
      </c>
      <c r="N12">
        <f>MONTH(Table1[[#This Row],[Order date ]])</f>
        <v>1</v>
      </c>
      <c r="O12" t="str">
        <f>TEXT(Table1[[#This Row],[Order date ]],"mmm")</f>
        <v>يناير</v>
      </c>
      <c r="P12">
        <f>ROUNDUP(Table1[[#This Row],[month]]/3,0)</f>
        <v>1</v>
      </c>
      <c r="Q12" t="str">
        <f>"Q"&amp;ROUNDUP(Table1[[#This Row],[month]]/3,0)</f>
        <v>Q1</v>
      </c>
      <c r="T12" s="6" t="s">
        <v>28</v>
      </c>
    </row>
    <row r="13" spans="5:24" x14ac:dyDescent="0.25">
      <c r="E13">
        <v>9</v>
      </c>
      <c r="F13" t="s">
        <v>31</v>
      </c>
      <c r="G13" t="s">
        <v>37</v>
      </c>
      <c r="H13" t="s">
        <v>7</v>
      </c>
      <c r="I13">
        <v>1281</v>
      </c>
      <c r="J13">
        <v>75</v>
      </c>
      <c r="K13" s="8">
        <v>44935</v>
      </c>
      <c r="L13">
        <f>Table1[[#This Row],[unit price]]*Table1[[#This Row],[Units]]</f>
        <v>96075</v>
      </c>
      <c r="M13" t="str">
        <f>TEXT(Table1[[#This Row],[Order date ]],"dddd")</f>
        <v>الإثنين</v>
      </c>
      <c r="N13">
        <f>MONTH(Table1[[#This Row],[Order date ]])</f>
        <v>1</v>
      </c>
      <c r="O13" t="str">
        <f>TEXT(Table1[[#This Row],[Order date ]],"mmm")</f>
        <v>يناير</v>
      </c>
      <c r="P13">
        <f>ROUNDUP(Table1[[#This Row],[month]]/3,0)</f>
        <v>1</v>
      </c>
      <c r="Q13" t="str">
        <f>"Q"&amp;ROUNDUP(Table1[[#This Row],[month]]/3,0)</f>
        <v>Q1</v>
      </c>
      <c r="T13" s="7" t="s">
        <v>34</v>
      </c>
    </row>
    <row r="14" spans="5:24" x14ac:dyDescent="0.25">
      <c r="E14">
        <v>10</v>
      </c>
      <c r="F14" t="s">
        <v>33</v>
      </c>
      <c r="G14" t="s">
        <v>40</v>
      </c>
      <c r="H14" t="s">
        <v>7</v>
      </c>
      <c r="I14">
        <v>4991</v>
      </c>
      <c r="J14">
        <v>12</v>
      </c>
      <c r="K14" s="8">
        <v>44936</v>
      </c>
      <c r="L14">
        <f>Table1[[#This Row],[unit price]]*Table1[[#This Row],[Units]]</f>
        <v>59892</v>
      </c>
      <c r="M14" t="str">
        <f>TEXT(Table1[[#This Row],[Order date ]],"dddd")</f>
        <v>الثلاثاء</v>
      </c>
      <c r="N14">
        <f>MONTH(Table1[[#This Row],[Order date ]])</f>
        <v>1</v>
      </c>
      <c r="O14" t="str">
        <f>TEXT(Table1[[#This Row],[Order date ]],"mmm")</f>
        <v>يناير</v>
      </c>
      <c r="P14">
        <f>ROUNDUP(Table1[[#This Row],[month]]/3,0)</f>
        <v>1</v>
      </c>
      <c r="Q14" t="str">
        <f>"Q"&amp;ROUNDUP(Table1[[#This Row],[month]]/3,0)</f>
        <v>Q1</v>
      </c>
      <c r="T14" s="6" t="s">
        <v>35</v>
      </c>
      <c r="X14">
        <f>COUNTA(X5:X11)</f>
        <v>7</v>
      </c>
    </row>
    <row r="15" spans="5:24" x14ac:dyDescent="0.25">
      <c r="E15">
        <v>11</v>
      </c>
      <c r="F15" t="s">
        <v>28</v>
      </c>
      <c r="G15" t="s">
        <v>43</v>
      </c>
      <c r="H15" t="s">
        <v>18</v>
      </c>
      <c r="I15">
        <v>1785</v>
      </c>
      <c r="J15">
        <v>462</v>
      </c>
      <c r="K15" s="8">
        <v>44937</v>
      </c>
      <c r="L15">
        <f>Table1[[#This Row],[unit price]]*Table1[[#This Row],[Units]]</f>
        <v>824670</v>
      </c>
      <c r="M15" t="str">
        <f>TEXT(Table1[[#This Row],[Order date ]],"dddd")</f>
        <v>الأربعاء</v>
      </c>
      <c r="N15">
        <f>MONTH(Table1[[#This Row],[Order date ]])</f>
        <v>1</v>
      </c>
      <c r="O15" t="str">
        <f>TEXT(Table1[[#This Row],[Order date ]],"mmm")</f>
        <v>يناير</v>
      </c>
      <c r="P15">
        <f>ROUNDUP(Table1[[#This Row],[month]]/3,0)</f>
        <v>1</v>
      </c>
      <c r="Q15" t="str">
        <f>"Q"&amp;ROUNDUP(Table1[[#This Row],[month]]/3,0)</f>
        <v>Q1</v>
      </c>
      <c r="S15">
        <f>COUNTA(T5:T14)</f>
        <v>10</v>
      </c>
    </row>
    <row r="16" spans="5:24" x14ac:dyDescent="0.25">
      <c r="E16">
        <v>12</v>
      </c>
      <c r="F16" t="s">
        <v>34</v>
      </c>
      <c r="G16" t="s">
        <v>40</v>
      </c>
      <c r="H16" t="s">
        <v>10</v>
      </c>
      <c r="I16">
        <v>3983</v>
      </c>
      <c r="J16">
        <v>144</v>
      </c>
      <c r="K16" s="8">
        <v>44938</v>
      </c>
      <c r="L16">
        <f>Table1[[#This Row],[unit price]]*Table1[[#This Row],[Units]]</f>
        <v>573552</v>
      </c>
      <c r="M16" t="str">
        <f>TEXT(Table1[[#This Row],[Order date ]],"dddd")</f>
        <v>الخميس</v>
      </c>
      <c r="N16">
        <f>MONTH(Table1[[#This Row],[Order date ]])</f>
        <v>1</v>
      </c>
      <c r="O16" t="str">
        <f>TEXT(Table1[[#This Row],[Order date ]],"mmm")</f>
        <v>يناير</v>
      </c>
      <c r="P16">
        <f>ROUNDUP(Table1[[#This Row],[month]]/3,0)</f>
        <v>1</v>
      </c>
      <c r="Q16" t="str">
        <f>"Q"&amp;ROUNDUP(Table1[[#This Row],[month]]/3,0)</f>
        <v>Q1</v>
      </c>
    </row>
    <row r="17" spans="5:17" x14ac:dyDescent="0.25">
      <c r="E17">
        <v>13</v>
      </c>
      <c r="F17" t="s">
        <v>3</v>
      </c>
      <c r="G17" t="s">
        <v>37</v>
      </c>
      <c r="H17" t="s">
        <v>9</v>
      </c>
      <c r="I17">
        <v>2646</v>
      </c>
      <c r="J17">
        <v>120</v>
      </c>
      <c r="K17" s="8">
        <v>44939</v>
      </c>
      <c r="L17">
        <f>Table1[[#This Row],[unit price]]*Table1[[#This Row],[Units]]</f>
        <v>317520</v>
      </c>
      <c r="M17" t="str">
        <f>TEXT(Table1[[#This Row],[Order date ]],"dddd")</f>
        <v>الجمعة</v>
      </c>
      <c r="N17">
        <f>MONTH(Table1[[#This Row],[Order date ]])</f>
        <v>1</v>
      </c>
      <c r="O17" t="str">
        <f>TEXT(Table1[[#This Row],[Order date ]],"mmm")</f>
        <v>يناير</v>
      </c>
      <c r="P17">
        <f>ROUNDUP(Table1[[#This Row],[month]]/3,0)</f>
        <v>1</v>
      </c>
      <c r="Q17" t="str">
        <f>"Q"&amp;ROUNDUP(Table1[[#This Row],[month]]/3,0)</f>
        <v>Q1</v>
      </c>
    </row>
    <row r="18" spans="5:17" x14ac:dyDescent="0.25">
      <c r="E18">
        <v>14</v>
      </c>
      <c r="F18" t="s">
        <v>28</v>
      </c>
      <c r="G18" t="s">
        <v>39</v>
      </c>
      <c r="H18" t="s">
        <v>6</v>
      </c>
      <c r="I18">
        <v>252</v>
      </c>
      <c r="J18">
        <v>54</v>
      </c>
      <c r="K18" s="8">
        <v>44940</v>
      </c>
      <c r="L18">
        <f>Table1[[#This Row],[unit price]]*Table1[[#This Row],[Units]]</f>
        <v>13608</v>
      </c>
      <c r="M18" t="str">
        <f>TEXT(Table1[[#This Row],[Order date ]],"dddd")</f>
        <v>السبت</v>
      </c>
      <c r="N18">
        <f>MONTH(Table1[[#This Row],[Order date ]])</f>
        <v>1</v>
      </c>
      <c r="O18" t="str">
        <f>TEXT(Table1[[#This Row],[Order date ]],"mmm")</f>
        <v>يناير</v>
      </c>
      <c r="P18">
        <f>ROUNDUP(Table1[[#This Row],[month]]/3,0)</f>
        <v>1</v>
      </c>
      <c r="Q18" t="str">
        <f>"Q"&amp;ROUNDUP(Table1[[#This Row],[month]]/3,0)</f>
        <v>Q1</v>
      </c>
    </row>
    <row r="19" spans="5:17" x14ac:dyDescent="0.25">
      <c r="E19">
        <v>15</v>
      </c>
      <c r="F19" t="s">
        <v>34</v>
      </c>
      <c r="G19" t="s">
        <v>45</v>
      </c>
      <c r="H19" t="s">
        <v>18</v>
      </c>
      <c r="I19">
        <v>2464</v>
      </c>
      <c r="J19">
        <v>234</v>
      </c>
      <c r="K19" s="8">
        <v>44941</v>
      </c>
      <c r="L19">
        <f>Table1[[#This Row],[unit price]]*Table1[[#This Row],[Units]]</f>
        <v>576576</v>
      </c>
      <c r="M19" t="str">
        <f>TEXT(Table1[[#This Row],[Order date ]],"dddd")</f>
        <v>الأحد</v>
      </c>
      <c r="N19">
        <f>MONTH(Table1[[#This Row],[Order date ]])</f>
        <v>1</v>
      </c>
      <c r="O19" t="str">
        <f>TEXT(Table1[[#This Row],[Order date ]],"mmm")</f>
        <v>يناير</v>
      </c>
      <c r="P19">
        <f>ROUNDUP(Table1[[#This Row],[month]]/3,0)</f>
        <v>1</v>
      </c>
      <c r="Q19" t="str">
        <f>"Q"&amp;ROUNDUP(Table1[[#This Row],[month]]/3,0)</f>
        <v>Q1</v>
      </c>
    </row>
    <row r="20" spans="5:17" x14ac:dyDescent="0.25">
      <c r="E20">
        <v>16</v>
      </c>
      <c r="F20" t="s">
        <v>34</v>
      </c>
      <c r="G20" t="s">
        <v>45</v>
      </c>
      <c r="H20" t="s">
        <v>22</v>
      </c>
      <c r="I20">
        <v>2114</v>
      </c>
      <c r="J20">
        <v>66</v>
      </c>
      <c r="K20" s="8">
        <v>44942</v>
      </c>
      <c r="L20">
        <f>Table1[[#This Row],[unit price]]*Table1[[#This Row],[Units]]</f>
        <v>139524</v>
      </c>
      <c r="M20" t="str">
        <f>TEXT(Table1[[#This Row],[Order date ]],"dddd")</f>
        <v>الإثنين</v>
      </c>
      <c r="N20">
        <f>MONTH(Table1[[#This Row],[Order date ]])</f>
        <v>1</v>
      </c>
      <c r="O20" t="str">
        <f>TEXT(Table1[[#This Row],[Order date ]],"mmm")</f>
        <v>يناير</v>
      </c>
      <c r="P20">
        <f>ROUNDUP(Table1[[#This Row],[month]]/3,0)</f>
        <v>1</v>
      </c>
      <c r="Q20" t="str">
        <f>"Q"&amp;ROUNDUP(Table1[[#This Row],[month]]/3,0)</f>
        <v>Q1</v>
      </c>
    </row>
    <row r="21" spans="5:17" x14ac:dyDescent="0.25">
      <c r="E21">
        <v>17</v>
      </c>
      <c r="F21" t="s">
        <v>32</v>
      </c>
      <c r="G21" t="s">
        <v>40</v>
      </c>
      <c r="H21" t="s">
        <v>24</v>
      </c>
      <c r="I21">
        <v>7693</v>
      </c>
      <c r="J21">
        <v>87</v>
      </c>
      <c r="K21" s="8">
        <v>44943</v>
      </c>
      <c r="L21">
        <f>Table1[[#This Row],[unit price]]*Table1[[#This Row],[Units]]</f>
        <v>669291</v>
      </c>
      <c r="M21" t="str">
        <f>TEXT(Table1[[#This Row],[Order date ]],"dddd")</f>
        <v>الثلاثاء</v>
      </c>
      <c r="N21">
        <f>MONTH(Table1[[#This Row],[Order date ]])</f>
        <v>1</v>
      </c>
      <c r="O21" t="str">
        <f>TEXT(Table1[[#This Row],[Order date ]],"mmm")</f>
        <v>يناير</v>
      </c>
      <c r="P21">
        <f>ROUNDUP(Table1[[#This Row],[month]]/3,0)</f>
        <v>1</v>
      </c>
      <c r="Q21" t="str">
        <f>"Q"&amp;ROUNDUP(Table1[[#This Row],[month]]/3,0)</f>
        <v>Q1</v>
      </c>
    </row>
    <row r="22" spans="5:17" x14ac:dyDescent="0.25">
      <c r="E22">
        <v>18</v>
      </c>
      <c r="F22" t="s">
        <v>33</v>
      </c>
      <c r="G22" t="s">
        <v>39</v>
      </c>
      <c r="H22" t="s">
        <v>13</v>
      </c>
      <c r="I22">
        <v>15610</v>
      </c>
      <c r="J22">
        <v>339</v>
      </c>
      <c r="K22" s="8">
        <v>44944</v>
      </c>
      <c r="L22">
        <f>Table1[[#This Row],[unit price]]*Table1[[#This Row],[Units]]</f>
        <v>5291790</v>
      </c>
      <c r="M22" t="str">
        <f>TEXT(Table1[[#This Row],[Order date ]],"dddd")</f>
        <v>الأربعاء</v>
      </c>
      <c r="N22">
        <f>MONTH(Table1[[#This Row],[Order date ]])</f>
        <v>1</v>
      </c>
      <c r="O22" t="str">
        <f>TEXT(Table1[[#This Row],[Order date ]],"mmm")</f>
        <v>يناير</v>
      </c>
      <c r="P22">
        <f>ROUNDUP(Table1[[#This Row],[month]]/3,0)</f>
        <v>1</v>
      </c>
      <c r="Q22" t="str">
        <f>"Q"&amp;ROUNDUP(Table1[[#This Row],[month]]/3,0)</f>
        <v>Q1</v>
      </c>
    </row>
    <row r="23" spans="5:17" x14ac:dyDescent="0.25">
      <c r="E23">
        <v>19</v>
      </c>
      <c r="F23" t="s">
        <v>30</v>
      </c>
      <c r="G23" t="s">
        <v>39</v>
      </c>
      <c r="H23" t="s">
        <v>15</v>
      </c>
      <c r="I23">
        <v>336</v>
      </c>
      <c r="J23">
        <v>144</v>
      </c>
      <c r="K23" s="8">
        <v>44945</v>
      </c>
      <c r="L23">
        <f>Table1[[#This Row],[unit price]]*Table1[[#This Row],[Units]]</f>
        <v>48384</v>
      </c>
      <c r="M23" t="str">
        <f>TEXT(Table1[[#This Row],[Order date ]],"dddd")</f>
        <v>الخميس</v>
      </c>
      <c r="N23">
        <f>MONTH(Table1[[#This Row],[Order date ]])</f>
        <v>1</v>
      </c>
      <c r="O23" t="str">
        <f>TEXT(Table1[[#This Row],[Order date ]],"mmm")</f>
        <v>يناير</v>
      </c>
      <c r="P23">
        <f>ROUNDUP(Table1[[#This Row],[month]]/3,0)</f>
        <v>1</v>
      </c>
      <c r="Q23" t="str">
        <f>"Q"&amp;ROUNDUP(Table1[[#This Row],[month]]/3,0)</f>
        <v>Q1</v>
      </c>
    </row>
    <row r="24" spans="5:17" x14ac:dyDescent="0.25">
      <c r="E24">
        <v>20</v>
      </c>
      <c r="F24" t="s">
        <v>28</v>
      </c>
      <c r="G24" t="s">
        <v>43</v>
      </c>
      <c r="H24" t="s">
        <v>13</v>
      </c>
      <c r="I24">
        <v>9443</v>
      </c>
      <c r="J24">
        <v>162</v>
      </c>
      <c r="K24" s="8">
        <v>44946</v>
      </c>
      <c r="L24">
        <f>Table1[[#This Row],[unit price]]*Table1[[#This Row],[Units]]</f>
        <v>1529766</v>
      </c>
      <c r="M24" t="str">
        <f>TEXT(Table1[[#This Row],[Order date ]],"dddd")</f>
        <v>الجمعة</v>
      </c>
      <c r="N24">
        <f>MONTH(Table1[[#This Row],[Order date ]])</f>
        <v>1</v>
      </c>
      <c r="O24" t="str">
        <f>TEXT(Table1[[#This Row],[Order date ]],"mmm")</f>
        <v>يناير</v>
      </c>
      <c r="P24">
        <f>ROUNDUP(Table1[[#This Row],[month]]/3,0)</f>
        <v>1</v>
      </c>
      <c r="Q24" t="str">
        <f>"Q"&amp;ROUNDUP(Table1[[#This Row],[month]]/3,0)</f>
        <v>Q1</v>
      </c>
    </row>
    <row r="25" spans="5:17" x14ac:dyDescent="0.25">
      <c r="E25">
        <v>21</v>
      </c>
      <c r="F25" t="s">
        <v>3</v>
      </c>
      <c r="G25" t="s">
        <v>39</v>
      </c>
      <c r="H25" t="s">
        <v>16</v>
      </c>
      <c r="I25">
        <v>8155</v>
      </c>
      <c r="J25">
        <v>90</v>
      </c>
      <c r="K25" s="8">
        <v>44947</v>
      </c>
      <c r="L25">
        <f>Table1[[#This Row],[unit price]]*Table1[[#This Row],[Units]]</f>
        <v>733950</v>
      </c>
      <c r="M25" t="str">
        <f>TEXT(Table1[[#This Row],[Order date ]],"dddd")</f>
        <v>السبت</v>
      </c>
      <c r="N25">
        <f>MONTH(Table1[[#This Row],[Order date ]])</f>
        <v>1</v>
      </c>
      <c r="O25" t="str">
        <f>TEXT(Table1[[#This Row],[Order date ]],"mmm")</f>
        <v>يناير</v>
      </c>
      <c r="P25">
        <f>ROUNDUP(Table1[[#This Row],[month]]/3,0)</f>
        <v>1</v>
      </c>
      <c r="Q25" t="str">
        <f>"Q"&amp;ROUNDUP(Table1[[#This Row],[month]]/3,0)</f>
        <v>Q1</v>
      </c>
    </row>
    <row r="26" spans="5:17" x14ac:dyDescent="0.25">
      <c r="E26">
        <v>22</v>
      </c>
      <c r="F26" t="s">
        <v>29</v>
      </c>
      <c r="G26" t="s">
        <v>37</v>
      </c>
      <c r="H26" t="s">
        <v>16</v>
      </c>
      <c r="I26">
        <v>1701</v>
      </c>
      <c r="J26">
        <v>234</v>
      </c>
      <c r="K26" s="8">
        <v>44948</v>
      </c>
      <c r="L26">
        <f>Table1[[#This Row],[unit price]]*Table1[[#This Row],[Units]]</f>
        <v>398034</v>
      </c>
      <c r="M26" t="str">
        <f>TEXT(Table1[[#This Row],[Order date ]],"dddd")</f>
        <v>الأحد</v>
      </c>
      <c r="N26">
        <f>MONTH(Table1[[#This Row],[Order date ]])</f>
        <v>1</v>
      </c>
      <c r="O26" t="str">
        <f>TEXT(Table1[[#This Row],[Order date ]],"mmm")</f>
        <v>يناير</v>
      </c>
      <c r="P26">
        <f>ROUNDUP(Table1[[#This Row],[month]]/3,0)</f>
        <v>1</v>
      </c>
      <c r="Q26" t="str">
        <f>"Q"&amp;ROUNDUP(Table1[[#This Row],[month]]/3,0)</f>
        <v>Q1</v>
      </c>
    </row>
    <row r="27" spans="5:17" x14ac:dyDescent="0.25">
      <c r="E27">
        <v>23</v>
      </c>
      <c r="F27" t="s">
        <v>35</v>
      </c>
      <c r="G27" t="s">
        <v>37</v>
      </c>
      <c r="H27" t="s">
        <v>15</v>
      </c>
      <c r="I27">
        <v>2205</v>
      </c>
      <c r="J27">
        <v>141</v>
      </c>
      <c r="K27" s="8">
        <v>44949</v>
      </c>
      <c r="L27">
        <f>Table1[[#This Row],[unit price]]*Table1[[#This Row],[Units]]</f>
        <v>310905</v>
      </c>
      <c r="M27" t="str">
        <f>TEXT(Table1[[#This Row],[Order date ]],"dddd")</f>
        <v>الإثنين</v>
      </c>
      <c r="N27">
        <f>MONTH(Table1[[#This Row],[Order date ]])</f>
        <v>1</v>
      </c>
      <c r="O27" t="str">
        <f>TEXT(Table1[[#This Row],[Order date ]],"mmm")</f>
        <v>يناير</v>
      </c>
      <c r="P27">
        <f>ROUNDUP(Table1[[#This Row],[month]]/3,0)</f>
        <v>1</v>
      </c>
      <c r="Q27" t="str">
        <f>"Q"&amp;ROUNDUP(Table1[[#This Row],[month]]/3,0)</f>
        <v>Q1</v>
      </c>
    </row>
    <row r="28" spans="5:17" x14ac:dyDescent="0.25">
      <c r="E28">
        <v>24</v>
      </c>
      <c r="F28" t="s">
        <v>29</v>
      </c>
      <c r="G28" t="s">
        <v>40</v>
      </c>
      <c r="H28" t="s">
        <v>12</v>
      </c>
      <c r="I28">
        <v>1771</v>
      </c>
      <c r="J28">
        <v>204</v>
      </c>
      <c r="K28" s="8">
        <v>44950</v>
      </c>
      <c r="L28">
        <f>Table1[[#This Row],[unit price]]*Table1[[#This Row],[Units]]</f>
        <v>361284</v>
      </c>
      <c r="M28" t="str">
        <f>TEXT(Table1[[#This Row],[Order date ]],"dddd")</f>
        <v>الثلاثاء</v>
      </c>
      <c r="N28">
        <f>MONTH(Table1[[#This Row],[Order date ]])</f>
        <v>1</v>
      </c>
      <c r="O28" t="str">
        <f>TEXT(Table1[[#This Row],[Order date ]],"mmm")</f>
        <v>يناير</v>
      </c>
      <c r="P28">
        <f>ROUNDUP(Table1[[#This Row],[month]]/3,0)</f>
        <v>1</v>
      </c>
      <c r="Q28" t="str">
        <f>"Q"&amp;ROUNDUP(Table1[[#This Row],[month]]/3,0)</f>
        <v>Q1</v>
      </c>
    </row>
    <row r="29" spans="5:17" x14ac:dyDescent="0.25">
      <c r="E29">
        <v>25</v>
      </c>
      <c r="F29" t="s">
        <v>30</v>
      </c>
      <c r="G29" t="s">
        <v>45</v>
      </c>
      <c r="H29" t="s">
        <v>8</v>
      </c>
      <c r="I29">
        <v>2114</v>
      </c>
      <c r="J29">
        <v>186</v>
      </c>
      <c r="K29" s="8">
        <v>44951</v>
      </c>
      <c r="L29">
        <f>Table1[[#This Row],[unit price]]*Table1[[#This Row],[Units]]</f>
        <v>393204</v>
      </c>
      <c r="M29" t="str">
        <f>TEXT(Table1[[#This Row],[Order date ]],"dddd")</f>
        <v>الأربعاء</v>
      </c>
      <c r="N29">
        <f>MONTH(Table1[[#This Row],[Order date ]])</f>
        <v>1</v>
      </c>
      <c r="O29" t="str">
        <f>TEXT(Table1[[#This Row],[Order date ]],"mmm")</f>
        <v>يناير</v>
      </c>
      <c r="P29">
        <f>ROUNDUP(Table1[[#This Row],[month]]/3,0)</f>
        <v>1</v>
      </c>
      <c r="Q29" t="str">
        <f>"Q"&amp;ROUNDUP(Table1[[#This Row],[month]]/3,0)</f>
        <v>Q1</v>
      </c>
    </row>
    <row r="30" spans="5:17" x14ac:dyDescent="0.25">
      <c r="E30">
        <v>26</v>
      </c>
      <c r="F30" t="s">
        <v>30</v>
      </c>
      <c r="G30" t="s">
        <v>38</v>
      </c>
      <c r="H30" t="s">
        <v>6</v>
      </c>
      <c r="I30">
        <v>10311</v>
      </c>
      <c r="J30">
        <v>231</v>
      </c>
      <c r="K30" s="8">
        <v>44952</v>
      </c>
      <c r="L30">
        <f>Table1[[#This Row],[unit price]]*Table1[[#This Row],[Units]]</f>
        <v>2381841</v>
      </c>
      <c r="M30" t="str">
        <f>TEXT(Table1[[#This Row],[Order date ]],"dddd")</f>
        <v>الخميس</v>
      </c>
      <c r="N30">
        <f>MONTH(Table1[[#This Row],[Order date ]])</f>
        <v>1</v>
      </c>
      <c r="O30" t="str">
        <f>TEXT(Table1[[#This Row],[Order date ]],"mmm")</f>
        <v>يناير</v>
      </c>
      <c r="P30">
        <f>ROUNDUP(Table1[[#This Row],[month]]/3,0)</f>
        <v>1</v>
      </c>
      <c r="Q30" t="str">
        <f>"Q"&amp;ROUNDUP(Table1[[#This Row],[month]]/3,0)</f>
        <v>Q1</v>
      </c>
    </row>
    <row r="31" spans="5:17" x14ac:dyDescent="0.25">
      <c r="E31">
        <v>27</v>
      </c>
      <c r="F31" t="s">
        <v>34</v>
      </c>
      <c r="G31" t="s">
        <v>43</v>
      </c>
      <c r="H31" t="s">
        <v>9</v>
      </c>
      <c r="I31">
        <v>21</v>
      </c>
      <c r="J31">
        <v>168</v>
      </c>
      <c r="K31" s="8">
        <v>44953</v>
      </c>
      <c r="L31">
        <f>Table1[[#This Row],[unit price]]*Table1[[#This Row],[Units]]</f>
        <v>3528</v>
      </c>
      <c r="M31" t="str">
        <f>TEXT(Table1[[#This Row],[Order date ]],"dddd")</f>
        <v>الجمعة</v>
      </c>
      <c r="N31">
        <f>MONTH(Table1[[#This Row],[Order date ]])</f>
        <v>1</v>
      </c>
      <c r="O31" t="str">
        <f>TEXT(Table1[[#This Row],[Order date ]],"mmm")</f>
        <v>يناير</v>
      </c>
      <c r="P31">
        <f>ROUNDUP(Table1[[#This Row],[month]]/3,0)</f>
        <v>1</v>
      </c>
      <c r="Q31" t="str">
        <f>"Q"&amp;ROUNDUP(Table1[[#This Row],[month]]/3,0)</f>
        <v>Q1</v>
      </c>
    </row>
    <row r="32" spans="5:17" x14ac:dyDescent="0.25">
      <c r="E32">
        <v>28</v>
      </c>
      <c r="F32" t="s">
        <v>35</v>
      </c>
      <c r="G32" t="s">
        <v>45</v>
      </c>
      <c r="H32" t="s">
        <v>13</v>
      </c>
      <c r="I32">
        <v>1974</v>
      </c>
      <c r="J32">
        <v>195</v>
      </c>
      <c r="K32" s="8">
        <v>44954</v>
      </c>
      <c r="L32">
        <f>Table1[[#This Row],[unit price]]*Table1[[#This Row],[Units]]</f>
        <v>384930</v>
      </c>
      <c r="M32" t="str">
        <f>TEXT(Table1[[#This Row],[Order date ]],"dddd")</f>
        <v>السبت</v>
      </c>
      <c r="N32">
        <f>MONTH(Table1[[#This Row],[Order date ]])</f>
        <v>1</v>
      </c>
      <c r="O32" t="str">
        <f>TEXT(Table1[[#This Row],[Order date ]],"mmm")</f>
        <v>يناير</v>
      </c>
      <c r="P32">
        <f>ROUNDUP(Table1[[#This Row],[month]]/3,0)</f>
        <v>1</v>
      </c>
      <c r="Q32" t="str">
        <f>"Q"&amp;ROUNDUP(Table1[[#This Row],[month]]/3,0)</f>
        <v>Q1</v>
      </c>
    </row>
    <row r="33" spans="5:17" x14ac:dyDescent="0.25">
      <c r="E33">
        <v>29</v>
      </c>
      <c r="F33" t="s">
        <v>33</v>
      </c>
      <c r="G33" t="s">
        <v>38</v>
      </c>
      <c r="H33" t="s">
        <v>16</v>
      </c>
      <c r="I33">
        <v>6314</v>
      </c>
      <c r="J33">
        <v>15</v>
      </c>
      <c r="K33" s="8">
        <v>44955</v>
      </c>
      <c r="L33">
        <f>Table1[[#This Row],[unit price]]*Table1[[#This Row],[Units]]</f>
        <v>94710</v>
      </c>
      <c r="M33" t="str">
        <f>TEXT(Table1[[#This Row],[Order date ]],"dddd")</f>
        <v>الأحد</v>
      </c>
      <c r="N33">
        <f>MONTH(Table1[[#This Row],[Order date ]])</f>
        <v>1</v>
      </c>
      <c r="O33" t="str">
        <f>TEXT(Table1[[#This Row],[Order date ]],"mmm")</f>
        <v>يناير</v>
      </c>
      <c r="P33">
        <f>ROUNDUP(Table1[[#This Row],[month]]/3,0)</f>
        <v>1</v>
      </c>
      <c r="Q33" t="str">
        <f>"Q"&amp;ROUNDUP(Table1[[#This Row],[month]]/3,0)</f>
        <v>Q1</v>
      </c>
    </row>
    <row r="34" spans="5:17" x14ac:dyDescent="0.25">
      <c r="E34">
        <v>30</v>
      </c>
      <c r="F34" t="s">
        <v>35</v>
      </c>
      <c r="G34" t="s">
        <v>40</v>
      </c>
      <c r="H34" t="s">
        <v>16</v>
      </c>
      <c r="I34">
        <v>4683</v>
      </c>
      <c r="J34">
        <v>30</v>
      </c>
      <c r="K34" s="8">
        <v>44956</v>
      </c>
      <c r="L34">
        <f>Table1[[#This Row],[unit price]]*Table1[[#This Row],[Units]]</f>
        <v>140490</v>
      </c>
      <c r="M34" t="str">
        <f>TEXT(Table1[[#This Row],[Order date ]],"dddd")</f>
        <v>الإثنين</v>
      </c>
      <c r="N34">
        <f>MONTH(Table1[[#This Row],[Order date ]])</f>
        <v>1</v>
      </c>
      <c r="O34" t="str">
        <f>TEXT(Table1[[#This Row],[Order date ]],"mmm")</f>
        <v>يناير</v>
      </c>
      <c r="P34">
        <f>ROUNDUP(Table1[[#This Row],[month]]/3,0)</f>
        <v>1</v>
      </c>
      <c r="Q34" t="str">
        <f>"Q"&amp;ROUNDUP(Table1[[#This Row],[month]]/3,0)</f>
        <v>Q1</v>
      </c>
    </row>
    <row r="35" spans="5:17" x14ac:dyDescent="0.25">
      <c r="E35">
        <v>31</v>
      </c>
      <c r="F35" t="s">
        <v>30</v>
      </c>
      <c r="G35" t="s">
        <v>40</v>
      </c>
      <c r="H35" t="s">
        <v>17</v>
      </c>
      <c r="I35">
        <v>6398</v>
      </c>
      <c r="J35">
        <v>102</v>
      </c>
      <c r="K35" s="8">
        <v>44957</v>
      </c>
      <c r="L35">
        <f>Table1[[#This Row],[unit price]]*Table1[[#This Row],[Units]]</f>
        <v>652596</v>
      </c>
      <c r="M35" t="str">
        <f>TEXT(Table1[[#This Row],[Order date ]],"dddd")</f>
        <v>الثلاثاء</v>
      </c>
      <c r="N35">
        <f>MONTH(Table1[[#This Row],[Order date ]])</f>
        <v>1</v>
      </c>
      <c r="O35" t="str">
        <f>TEXT(Table1[[#This Row],[Order date ]],"mmm")</f>
        <v>يناير</v>
      </c>
      <c r="P35">
        <f>ROUNDUP(Table1[[#This Row],[month]]/3,0)</f>
        <v>1</v>
      </c>
      <c r="Q35" t="str">
        <f>"Q"&amp;ROUNDUP(Table1[[#This Row],[month]]/3,0)</f>
        <v>Q1</v>
      </c>
    </row>
    <row r="36" spans="5:17" x14ac:dyDescent="0.25">
      <c r="E36">
        <v>32</v>
      </c>
      <c r="F36" t="s">
        <v>28</v>
      </c>
      <c r="G36" t="s">
        <v>45</v>
      </c>
      <c r="H36" t="s">
        <v>12</v>
      </c>
      <c r="I36">
        <v>553</v>
      </c>
      <c r="J36">
        <v>15</v>
      </c>
      <c r="K36" s="8">
        <v>44958</v>
      </c>
      <c r="L36">
        <f>Table1[[#This Row],[unit price]]*Table1[[#This Row],[Units]]</f>
        <v>8295</v>
      </c>
      <c r="M36" t="str">
        <f>TEXT(Table1[[#This Row],[Order date ]],"dddd")</f>
        <v>الأربعاء</v>
      </c>
      <c r="N36">
        <f>MONTH(Table1[[#This Row],[Order date ]])</f>
        <v>2</v>
      </c>
      <c r="O36" t="str">
        <f>TEXT(Table1[[#This Row],[Order date ]],"mmm")</f>
        <v>فبراير</v>
      </c>
      <c r="P36">
        <f>ROUNDUP(Table1[[#This Row],[month]]/3,0)</f>
        <v>1</v>
      </c>
      <c r="Q36" t="str">
        <f>"Q"&amp;ROUNDUP(Table1[[#This Row],[month]]/3,0)</f>
        <v>Q1</v>
      </c>
    </row>
    <row r="37" spans="5:17" x14ac:dyDescent="0.25">
      <c r="E37">
        <v>33</v>
      </c>
      <c r="F37" t="s">
        <v>29</v>
      </c>
      <c r="G37" t="s">
        <v>43</v>
      </c>
      <c r="H37" t="s">
        <v>23</v>
      </c>
      <c r="I37">
        <v>7021</v>
      </c>
      <c r="J37">
        <v>183</v>
      </c>
      <c r="K37" s="8">
        <v>44959</v>
      </c>
      <c r="L37">
        <f>Table1[[#This Row],[unit price]]*Table1[[#This Row],[Units]]</f>
        <v>1284843</v>
      </c>
      <c r="M37" t="str">
        <f>TEXT(Table1[[#This Row],[Order date ]],"dddd")</f>
        <v>الخميس</v>
      </c>
      <c r="N37">
        <f>MONTH(Table1[[#This Row],[Order date ]])</f>
        <v>2</v>
      </c>
      <c r="O37" t="str">
        <f>TEXT(Table1[[#This Row],[Order date ]],"mmm")</f>
        <v>فبراير</v>
      </c>
      <c r="P37">
        <f>ROUNDUP(Table1[[#This Row],[month]]/3,0)</f>
        <v>1</v>
      </c>
      <c r="Q37" t="str">
        <f>"Q"&amp;ROUNDUP(Table1[[#This Row],[month]]/3,0)</f>
        <v>Q1</v>
      </c>
    </row>
    <row r="38" spans="5:17" x14ac:dyDescent="0.25">
      <c r="E38">
        <v>34</v>
      </c>
      <c r="F38" t="s">
        <v>36</v>
      </c>
      <c r="G38" t="s">
        <v>43</v>
      </c>
      <c r="H38" t="s">
        <v>15</v>
      </c>
      <c r="I38">
        <v>5817</v>
      </c>
      <c r="J38">
        <v>12</v>
      </c>
      <c r="K38" s="8">
        <v>44960</v>
      </c>
      <c r="L38">
        <f>Table1[[#This Row],[unit price]]*Table1[[#This Row],[Units]]</f>
        <v>69804</v>
      </c>
      <c r="M38" t="str">
        <f>TEXT(Table1[[#This Row],[Order date ]],"dddd")</f>
        <v>الجمعة</v>
      </c>
      <c r="N38">
        <f>MONTH(Table1[[#This Row],[Order date ]])</f>
        <v>2</v>
      </c>
      <c r="O38" t="str">
        <f>TEXT(Table1[[#This Row],[Order date ]],"mmm")</f>
        <v>فبراير</v>
      </c>
      <c r="P38">
        <f>ROUNDUP(Table1[[#This Row],[month]]/3,0)</f>
        <v>1</v>
      </c>
      <c r="Q38" t="str">
        <f>"Q"&amp;ROUNDUP(Table1[[#This Row],[month]]/3,0)</f>
        <v>Q1</v>
      </c>
    </row>
    <row r="39" spans="5:17" x14ac:dyDescent="0.25">
      <c r="E39">
        <v>35</v>
      </c>
      <c r="F39" t="s">
        <v>30</v>
      </c>
      <c r="G39" t="s">
        <v>43</v>
      </c>
      <c r="H39" t="s">
        <v>7</v>
      </c>
      <c r="I39">
        <v>3976</v>
      </c>
      <c r="J39">
        <v>72</v>
      </c>
      <c r="K39" s="8">
        <v>44961</v>
      </c>
      <c r="L39">
        <f>Table1[[#This Row],[unit price]]*Table1[[#This Row],[Units]]</f>
        <v>286272</v>
      </c>
      <c r="M39" t="str">
        <f>TEXT(Table1[[#This Row],[Order date ]],"dddd")</f>
        <v>السبت</v>
      </c>
      <c r="N39">
        <f>MONTH(Table1[[#This Row],[Order date ]])</f>
        <v>2</v>
      </c>
      <c r="O39" t="str">
        <f>TEXT(Table1[[#This Row],[Order date ]],"mmm")</f>
        <v>فبراير</v>
      </c>
      <c r="P39">
        <f>ROUNDUP(Table1[[#This Row],[month]]/3,0)</f>
        <v>1</v>
      </c>
      <c r="Q39" t="str">
        <f>"Q"&amp;ROUNDUP(Table1[[#This Row],[month]]/3,0)</f>
        <v>Q1</v>
      </c>
    </row>
    <row r="40" spans="5:17" x14ac:dyDescent="0.25">
      <c r="E40">
        <v>36</v>
      </c>
      <c r="F40" t="s">
        <v>32</v>
      </c>
      <c r="G40" t="s">
        <v>37</v>
      </c>
      <c r="H40" t="s">
        <v>20</v>
      </c>
      <c r="I40">
        <v>1134</v>
      </c>
      <c r="J40">
        <v>282</v>
      </c>
      <c r="K40" s="8">
        <v>44962</v>
      </c>
      <c r="L40">
        <f>Table1[[#This Row],[unit price]]*Table1[[#This Row],[Units]]</f>
        <v>319788</v>
      </c>
      <c r="M40" t="str">
        <f>TEXT(Table1[[#This Row],[Order date ]],"dddd")</f>
        <v>الأحد</v>
      </c>
      <c r="N40">
        <f>MONTH(Table1[[#This Row],[Order date ]])</f>
        <v>2</v>
      </c>
      <c r="O40" t="str">
        <f>TEXT(Table1[[#This Row],[Order date ]],"mmm")</f>
        <v>فبراير</v>
      </c>
      <c r="P40">
        <f>ROUNDUP(Table1[[#This Row],[month]]/3,0)</f>
        <v>1</v>
      </c>
      <c r="Q40" t="str">
        <f>"Q"&amp;ROUNDUP(Table1[[#This Row],[month]]/3,0)</f>
        <v>Q1</v>
      </c>
    </row>
    <row r="41" spans="5:17" x14ac:dyDescent="0.25">
      <c r="E41">
        <v>37</v>
      </c>
      <c r="F41" t="s">
        <v>28</v>
      </c>
      <c r="G41" t="s">
        <v>43</v>
      </c>
      <c r="H41" t="s">
        <v>21</v>
      </c>
      <c r="I41">
        <v>6027</v>
      </c>
      <c r="J41">
        <v>144</v>
      </c>
      <c r="K41" s="8">
        <v>44963</v>
      </c>
      <c r="L41">
        <f>Table1[[#This Row],[unit price]]*Table1[[#This Row],[Units]]</f>
        <v>867888</v>
      </c>
      <c r="M41" t="str">
        <f>TEXT(Table1[[#This Row],[Order date ]],"dddd")</f>
        <v>الإثنين</v>
      </c>
      <c r="N41">
        <f>MONTH(Table1[[#This Row],[Order date ]])</f>
        <v>2</v>
      </c>
      <c r="O41" t="str">
        <f>TEXT(Table1[[#This Row],[Order date ]],"mmm")</f>
        <v>فبراير</v>
      </c>
      <c r="P41">
        <f>ROUNDUP(Table1[[#This Row],[month]]/3,0)</f>
        <v>1</v>
      </c>
      <c r="Q41" t="str">
        <f>"Q"&amp;ROUNDUP(Table1[[#This Row],[month]]/3,0)</f>
        <v>Q1</v>
      </c>
    </row>
    <row r="42" spans="5:17" x14ac:dyDescent="0.25">
      <c r="E42">
        <v>38</v>
      </c>
      <c r="F42" t="s">
        <v>32</v>
      </c>
      <c r="G42" t="s">
        <v>40</v>
      </c>
      <c r="H42" t="s">
        <v>9</v>
      </c>
      <c r="I42">
        <v>1904</v>
      </c>
      <c r="J42">
        <v>405</v>
      </c>
      <c r="K42" s="8">
        <v>44964</v>
      </c>
      <c r="L42">
        <f>Table1[[#This Row],[unit price]]*Table1[[#This Row],[Units]]</f>
        <v>771120</v>
      </c>
      <c r="M42" t="str">
        <f>TEXT(Table1[[#This Row],[Order date ]],"dddd")</f>
        <v>الثلاثاء</v>
      </c>
      <c r="N42">
        <f>MONTH(Table1[[#This Row],[Order date ]])</f>
        <v>2</v>
      </c>
      <c r="O42" t="str">
        <f>TEXT(Table1[[#This Row],[Order date ]],"mmm")</f>
        <v>فبراير</v>
      </c>
      <c r="P42">
        <f>ROUNDUP(Table1[[#This Row],[month]]/3,0)</f>
        <v>1</v>
      </c>
      <c r="Q42" t="str">
        <f>"Q"&amp;ROUNDUP(Table1[[#This Row],[month]]/3,0)</f>
        <v>Q1</v>
      </c>
    </row>
    <row r="43" spans="5:17" x14ac:dyDescent="0.25">
      <c r="E43">
        <v>39</v>
      </c>
      <c r="F43" t="s">
        <v>31</v>
      </c>
      <c r="G43" t="s">
        <v>39</v>
      </c>
      <c r="H43" t="s">
        <v>25</v>
      </c>
      <c r="I43">
        <v>3262</v>
      </c>
      <c r="J43">
        <v>75</v>
      </c>
      <c r="K43" s="8">
        <v>44965</v>
      </c>
      <c r="L43">
        <f>Table1[[#This Row],[unit price]]*Table1[[#This Row],[Units]]</f>
        <v>244650</v>
      </c>
      <c r="M43" t="str">
        <f>TEXT(Table1[[#This Row],[Order date ]],"dddd")</f>
        <v>الأربعاء</v>
      </c>
      <c r="N43">
        <f>MONTH(Table1[[#This Row],[Order date ]])</f>
        <v>2</v>
      </c>
      <c r="O43" t="str">
        <f>TEXT(Table1[[#This Row],[Order date ]],"mmm")</f>
        <v>فبراير</v>
      </c>
      <c r="P43">
        <f>ROUNDUP(Table1[[#This Row],[month]]/3,0)</f>
        <v>1</v>
      </c>
      <c r="Q43" t="str">
        <f>"Q"&amp;ROUNDUP(Table1[[#This Row],[month]]/3,0)</f>
        <v>Q1</v>
      </c>
    </row>
    <row r="44" spans="5:17" x14ac:dyDescent="0.25">
      <c r="E44">
        <v>40</v>
      </c>
      <c r="F44" t="s">
        <v>36</v>
      </c>
      <c r="G44" t="s">
        <v>39</v>
      </c>
      <c r="H44" t="s">
        <v>20</v>
      </c>
      <c r="I44">
        <v>2289</v>
      </c>
      <c r="J44">
        <v>135</v>
      </c>
      <c r="K44" s="8">
        <v>44966</v>
      </c>
      <c r="L44">
        <f>Table1[[#This Row],[unit price]]*Table1[[#This Row],[Units]]</f>
        <v>309015</v>
      </c>
      <c r="M44" t="str">
        <f>TEXT(Table1[[#This Row],[Order date ]],"dddd")</f>
        <v>الخميس</v>
      </c>
      <c r="N44">
        <f>MONTH(Table1[[#This Row],[Order date ]])</f>
        <v>2</v>
      </c>
      <c r="O44" t="str">
        <f>TEXT(Table1[[#This Row],[Order date ]],"mmm")</f>
        <v>فبراير</v>
      </c>
      <c r="P44">
        <f>ROUNDUP(Table1[[#This Row],[month]]/3,0)</f>
        <v>1</v>
      </c>
      <c r="Q44" t="str">
        <f>"Q"&amp;ROUNDUP(Table1[[#This Row],[month]]/3,0)</f>
        <v>Q1</v>
      </c>
    </row>
    <row r="45" spans="5:17" x14ac:dyDescent="0.25">
      <c r="E45">
        <v>41</v>
      </c>
      <c r="F45" t="s">
        <v>33</v>
      </c>
      <c r="G45" t="s">
        <v>39</v>
      </c>
      <c r="H45" t="s">
        <v>20</v>
      </c>
      <c r="I45">
        <v>6986</v>
      </c>
      <c r="J45">
        <v>21</v>
      </c>
      <c r="K45" s="8">
        <v>44967</v>
      </c>
      <c r="L45">
        <f>Table1[[#This Row],[unit price]]*Table1[[#This Row],[Units]]</f>
        <v>146706</v>
      </c>
      <c r="M45" t="str">
        <f>TEXT(Table1[[#This Row],[Order date ]],"dddd")</f>
        <v>الجمعة</v>
      </c>
      <c r="N45">
        <f>MONTH(Table1[[#This Row],[Order date ]])</f>
        <v>2</v>
      </c>
      <c r="O45" t="str">
        <f>TEXT(Table1[[#This Row],[Order date ]],"mmm")</f>
        <v>فبراير</v>
      </c>
      <c r="P45">
        <f>ROUNDUP(Table1[[#This Row],[month]]/3,0)</f>
        <v>1</v>
      </c>
      <c r="Q45" t="str">
        <f>"Q"&amp;ROUNDUP(Table1[[#This Row],[month]]/3,0)</f>
        <v>Q1</v>
      </c>
    </row>
    <row r="46" spans="5:17" x14ac:dyDescent="0.25">
      <c r="E46">
        <v>42</v>
      </c>
      <c r="F46" t="s">
        <v>28</v>
      </c>
      <c r="G46" t="s">
        <v>37</v>
      </c>
      <c r="H46" t="s">
        <v>16</v>
      </c>
      <c r="I46">
        <v>4417</v>
      </c>
      <c r="J46">
        <v>153</v>
      </c>
      <c r="K46" s="8">
        <v>44968</v>
      </c>
      <c r="L46">
        <f>Table1[[#This Row],[unit price]]*Table1[[#This Row],[Units]]</f>
        <v>675801</v>
      </c>
      <c r="M46" t="str">
        <f>TEXT(Table1[[#This Row],[Order date ]],"dddd")</f>
        <v>السبت</v>
      </c>
      <c r="N46">
        <f>MONTH(Table1[[#This Row],[Order date ]])</f>
        <v>2</v>
      </c>
      <c r="O46" t="str">
        <f>TEXT(Table1[[#This Row],[Order date ]],"mmm")</f>
        <v>فبراير</v>
      </c>
      <c r="P46">
        <f>ROUNDUP(Table1[[#This Row],[month]]/3,0)</f>
        <v>1</v>
      </c>
      <c r="Q46" t="str">
        <f>"Q"&amp;ROUNDUP(Table1[[#This Row],[month]]/3,0)</f>
        <v>Q1</v>
      </c>
    </row>
    <row r="47" spans="5:17" x14ac:dyDescent="0.25">
      <c r="E47">
        <v>43</v>
      </c>
      <c r="F47" t="s">
        <v>32</v>
      </c>
      <c r="G47" t="s">
        <v>39</v>
      </c>
      <c r="H47" t="s">
        <v>8</v>
      </c>
      <c r="I47">
        <v>1442</v>
      </c>
      <c r="J47">
        <v>15</v>
      </c>
      <c r="K47" s="8">
        <v>44969</v>
      </c>
      <c r="L47">
        <f>Table1[[#This Row],[unit price]]*Table1[[#This Row],[Units]]</f>
        <v>21630</v>
      </c>
      <c r="M47" t="str">
        <f>TEXT(Table1[[#This Row],[Order date ]],"dddd")</f>
        <v>الأحد</v>
      </c>
      <c r="N47">
        <f>MONTH(Table1[[#This Row],[Order date ]])</f>
        <v>2</v>
      </c>
      <c r="O47" t="str">
        <f>TEXT(Table1[[#This Row],[Order date ]],"mmm")</f>
        <v>فبراير</v>
      </c>
      <c r="P47">
        <f>ROUNDUP(Table1[[#This Row],[month]]/3,0)</f>
        <v>1</v>
      </c>
      <c r="Q47" t="str">
        <f>"Q"&amp;ROUNDUP(Table1[[#This Row],[month]]/3,0)</f>
        <v>Q1</v>
      </c>
    </row>
    <row r="48" spans="5:17" x14ac:dyDescent="0.25">
      <c r="E48">
        <v>44</v>
      </c>
      <c r="F48" t="s">
        <v>34</v>
      </c>
      <c r="G48" t="s">
        <v>45</v>
      </c>
      <c r="H48" t="s">
        <v>7</v>
      </c>
      <c r="I48">
        <v>2415</v>
      </c>
      <c r="J48">
        <v>255</v>
      </c>
      <c r="K48" s="8">
        <v>44970</v>
      </c>
      <c r="L48">
        <f>Table1[[#This Row],[unit price]]*Table1[[#This Row],[Units]]</f>
        <v>615825</v>
      </c>
      <c r="M48" t="str">
        <f>TEXT(Table1[[#This Row],[Order date ]],"dddd")</f>
        <v>الإثنين</v>
      </c>
      <c r="N48">
        <f>MONTH(Table1[[#This Row],[Order date ]])</f>
        <v>2</v>
      </c>
      <c r="O48" t="str">
        <f>TEXT(Table1[[#This Row],[Order date ]],"mmm")</f>
        <v>فبراير</v>
      </c>
      <c r="P48">
        <f>ROUNDUP(Table1[[#This Row],[month]]/3,0)</f>
        <v>1</v>
      </c>
      <c r="Q48" t="str">
        <f>"Q"&amp;ROUNDUP(Table1[[#This Row],[month]]/3,0)</f>
        <v>Q1</v>
      </c>
    </row>
    <row r="49" spans="5:17" x14ac:dyDescent="0.25">
      <c r="E49">
        <v>45</v>
      </c>
      <c r="F49" t="s">
        <v>28</v>
      </c>
      <c r="G49" t="s">
        <v>40</v>
      </c>
      <c r="H49" t="s">
        <v>12</v>
      </c>
      <c r="I49">
        <v>238</v>
      </c>
      <c r="J49">
        <v>18</v>
      </c>
      <c r="K49" s="8">
        <v>44971</v>
      </c>
      <c r="L49">
        <f>Table1[[#This Row],[unit price]]*Table1[[#This Row],[Units]]</f>
        <v>4284</v>
      </c>
      <c r="M49" t="str">
        <f>TEXT(Table1[[#This Row],[Order date ]],"dddd")</f>
        <v>الثلاثاء</v>
      </c>
      <c r="N49">
        <f>MONTH(Table1[[#This Row],[Order date ]])</f>
        <v>2</v>
      </c>
      <c r="O49" t="str">
        <f>TEXT(Table1[[#This Row],[Order date ]],"mmm")</f>
        <v>فبراير</v>
      </c>
      <c r="P49">
        <f>ROUNDUP(Table1[[#This Row],[month]]/3,0)</f>
        <v>1</v>
      </c>
      <c r="Q49" t="str">
        <f>"Q"&amp;ROUNDUP(Table1[[#This Row],[month]]/3,0)</f>
        <v>Q1</v>
      </c>
    </row>
    <row r="50" spans="5:17" x14ac:dyDescent="0.25">
      <c r="E50">
        <v>46</v>
      </c>
      <c r="F50" t="s">
        <v>32</v>
      </c>
      <c r="G50" t="s">
        <v>40</v>
      </c>
      <c r="H50" t="s">
        <v>16</v>
      </c>
      <c r="I50">
        <v>4949</v>
      </c>
      <c r="J50">
        <v>189</v>
      </c>
      <c r="K50" s="8">
        <v>44972</v>
      </c>
      <c r="L50">
        <f>Table1[[#This Row],[unit price]]*Table1[[#This Row],[Units]]</f>
        <v>935361</v>
      </c>
      <c r="M50" t="str">
        <f>TEXT(Table1[[#This Row],[Order date ]],"dddd")</f>
        <v>الأربعاء</v>
      </c>
      <c r="N50">
        <f>MONTH(Table1[[#This Row],[Order date ]])</f>
        <v>2</v>
      </c>
      <c r="O50" t="str">
        <f>TEXT(Table1[[#This Row],[Order date ]],"mmm")</f>
        <v>فبراير</v>
      </c>
      <c r="P50">
        <f>ROUNDUP(Table1[[#This Row],[month]]/3,0)</f>
        <v>1</v>
      </c>
      <c r="Q50" t="str">
        <f>"Q"&amp;ROUNDUP(Table1[[#This Row],[month]]/3,0)</f>
        <v>Q1</v>
      </c>
    </row>
    <row r="51" spans="5:17" x14ac:dyDescent="0.25">
      <c r="E51">
        <v>47</v>
      </c>
      <c r="F51" t="s">
        <v>33</v>
      </c>
      <c r="G51" t="s">
        <v>37</v>
      </c>
      <c r="H51" t="s">
        <v>25</v>
      </c>
      <c r="I51">
        <v>5075</v>
      </c>
      <c r="J51">
        <v>21</v>
      </c>
      <c r="K51" s="8">
        <v>44973</v>
      </c>
      <c r="L51">
        <f>Table1[[#This Row],[unit price]]*Table1[[#This Row],[Units]]</f>
        <v>106575</v>
      </c>
      <c r="M51" t="str">
        <f>TEXT(Table1[[#This Row],[Order date ]],"dddd")</f>
        <v>الخميس</v>
      </c>
      <c r="N51">
        <f>MONTH(Table1[[#This Row],[Order date ]])</f>
        <v>2</v>
      </c>
      <c r="O51" t="str">
        <f>TEXT(Table1[[#This Row],[Order date ]],"mmm")</f>
        <v>فبراير</v>
      </c>
      <c r="P51">
        <f>ROUNDUP(Table1[[#This Row],[month]]/3,0)</f>
        <v>1</v>
      </c>
      <c r="Q51" t="str">
        <f>"Q"&amp;ROUNDUP(Table1[[#This Row],[month]]/3,0)</f>
        <v>Q1</v>
      </c>
    </row>
    <row r="52" spans="5:17" x14ac:dyDescent="0.25">
      <c r="E52">
        <v>48</v>
      </c>
      <c r="F52" t="s">
        <v>34</v>
      </c>
      <c r="G52" t="s">
        <v>38</v>
      </c>
      <c r="H52" t="s">
        <v>9</v>
      </c>
      <c r="I52">
        <v>9198</v>
      </c>
      <c r="J52">
        <v>36</v>
      </c>
      <c r="K52" s="8">
        <v>44974</v>
      </c>
      <c r="L52">
        <f>Table1[[#This Row],[unit price]]*Table1[[#This Row],[Units]]</f>
        <v>331128</v>
      </c>
      <c r="M52" t="str">
        <f>TEXT(Table1[[#This Row],[Order date ]],"dddd")</f>
        <v>الجمعة</v>
      </c>
      <c r="N52">
        <f>MONTH(Table1[[#This Row],[Order date ]])</f>
        <v>2</v>
      </c>
      <c r="O52" t="str">
        <f>TEXT(Table1[[#This Row],[Order date ]],"mmm")</f>
        <v>فبراير</v>
      </c>
      <c r="P52">
        <f>ROUNDUP(Table1[[#This Row],[month]]/3,0)</f>
        <v>1</v>
      </c>
      <c r="Q52" t="str">
        <f>"Q"&amp;ROUNDUP(Table1[[#This Row],[month]]/3,0)</f>
        <v>Q1</v>
      </c>
    </row>
    <row r="53" spans="5:17" x14ac:dyDescent="0.25">
      <c r="E53">
        <v>49</v>
      </c>
      <c r="F53" t="s">
        <v>32</v>
      </c>
      <c r="G53" t="s">
        <v>39</v>
      </c>
      <c r="H53" t="s">
        <v>22</v>
      </c>
      <c r="I53">
        <v>3339</v>
      </c>
      <c r="J53">
        <v>75</v>
      </c>
      <c r="K53" s="8">
        <v>44975</v>
      </c>
      <c r="L53">
        <f>Table1[[#This Row],[unit price]]*Table1[[#This Row],[Units]]</f>
        <v>250425</v>
      </c>
      <c r="M53" t="str">
        <f>TEXT(Table1[[#This Row],[Order date ]],"dddd")</f>
        <v>السبت</v>
      </c>
      <c r="N53">
        <f>MONTH(Table1[[#This Row],[Order date ]])</f>
        <v>2</v>
      </c>
      <c r="O53" t="str">
        <f>TEXT(Table1[[#This Row],[Order date ]],"mmm")</f>
        <v>فبراير</v>
      </c>
      <c r="P53">
        <f>ROUNDUP(Table1[[#This Row],[month]]/3,0)</f>
        <v>1</v>
      </c>
      <c r="Q53" t="str">
        <f>"Q"&amp;ROUNDUP(Table1[[#This Row],[month]]/3,0)</f>
        <v>Q1</v>
      </c>
    </row>
    <row r="54" spans="5:17" x14ac:dyDescent="0.25">
      <c r="E54">
        <v>50</v>
      </c>
      <c r="F54" t="s">
        <v>36</v>
      </c>
      <c r="G54" t="s">
        <v>39</v>
      </c>
      <c r="H54" t="s">
        <v>10</v>
      </c>
      <c r="I54">
        <v>5019</v>
      </c>
      <c r="J54">
        <v>156</v>
      </c>
      <c r="K54" s="8">
        <v>44976</v>
      </c>
      <c r="L54">
        <f>Table1[[#This Row],[unit price]]*Table1[[#This Row],[Units]]</f>
        <v>782964</v>
      </c>
      <c r="M54" t="str">
        <f>TEXT(Table1[[#This Row],[Order date ]],"dddd")</f>
        <v>الأحد</v>
      </c>
      <c r="N54">
        <f>MONTH(Table1[[#This Row],[Order date ]])</f>
        <v>2</v>
      </c>
      <c r="O54" t="str">
        <f>TEXT(Table1[[#This Row],[Order date ]],"mmm")</f>
        <v>فبراير</v>
      </c>
      <c r="P54">
        <f>ROUNDUP(Table1[[#This Row],[month]]/3,0)</f>
        <v>1</v>
      </c>
      <c r="Q54" t="str">
        <f>"Q"&amp;ROUNDUP(Table1[[#This Row],[month]]/3,0)</f>
        <v>Q1</v>
      </c>
    </row>
    <row r="55" spans="5:17" x14ac:dyDescent="0.25">
      <c r="E55">
        <v>51</v>
      </c>
      <c r="F55" t="s">
        <v>33</v>
      </c>
      <c r="G55" t="s">
        <v>38</v>
      </c>
      <c r="H55" t="s">
        <v>9</v>
      </c>
      <c r="I55">
        <v>16184</v>
      </c>
      <c r="J55">
        <v>39</v>
      </c>
      <c r="K55" s="8">
        <v>44977</v>
      </c>
      <c r="L55">
        <f>Table1[[#This Row],[unit price]]*Table1[[#This Row],[Units]]</f>
        <v>631176</v>
      </c>
      <c r="M55" t="str">
        <f>TEXT(Table1[[#This Row],[Order date ]],"dddd")</f>
        <v>الإثنين</v>
      </c>
      <c r="N55">
        <f>MONTH(Table1[[#This Row],[Order date ]])</f>
        <v>2</v>
      </c>
      <c r="O55" t="str">
        <f>TEXT(Table1[[#This Row],[Order date ]],"mmm")</f>
        <v>فبراير</v>
      </c>
      <c r="P55">
        <f>ROUNDUP(Table1[[#This Row],[month]]/3,0)</f>
        <v>1</v>
      </c>
      <c r="Q55" t="str">
        <f>"Q"&amp;ROUNDUP(Table1[[#This Row],[month]]/3,0)</f>
        <v>Q1</v>
      </c>
    </row>
    <row r="56" spans="5:17" x14ac:dyDescent="0.25">
      <c r="E56">
        <v>52</v>
      </c>
      <c r="F56" t="s">
        <v>32</v>
      </c>
      <c r="G56" t="s">
        <v>38</v>
      </c>
      <c r="H56" t="s">
        <v>14</v>
      </c>
      <c r="I56">
        <v>497</v>
      </c>
      <c r="J56">
        <v>63</v>
      </c>
      <c r="K56" s="8">
        <v>44978</v>
      </c>
      <c r="L56">
        <f>Table1[[#This Row],[unit price]]*Table1[[#This Row],[Units]]</f>
        <v>31311</v>
      </c>
      <c r="M56" t="str">
        <f>TEXT(Table1[[#This Row],[Order date ]],"dddd")</f>
        <v>الثلاثاء</v>
      </c>
      <c r="N56">
        <f>MONTH(Table1[[#This Row],[Order date ]])</f>
        <v>2</v>
      </c>
      <c r="O56" t="str">
        <f>TEXT(Table1[[#This Row],[Order date ]],"mmm")</f>
        <v>فبراير</v>
      </c>
      <c r="P56">
        <f>ROUNDUP(Table1[[#This Row],[month]]/3,0)</f>
        <v>1</v>
      </c>
      <c r="Q56" t="str">
        <f>"Q"&amp;ROUNDUP(Table1[[#This Row],[month]]/3,0)</f>
        <v>Q1</v>
      </c>
    </row>
    <row r="57" spans="5:17" x14ac:dyDescent="0.25">
      <c r="E57">
        <v>53</v>
      </c>
      <c r="F57" t="s">
        <v>28</v>
      </c>
      <c r="G57" t="s">
        <v>38</v>
      </c>
      <c r="H57" t="s">
        <v>22</v>
      </c>
      <c r="I57">
        <v>8211</v>
      </c>
      <c r="J57">
        <v>75</v>
      </c>
      <c r="K57" s="8">
        <v>44979</v>
      </c>
      <c r="L57">
        <f>Table1[[#This Row],[unit price]]*Table1[[#This Row],[Units]]</f>
        <v>615825</v>
      </c>
      <c r="M57" t="str">
        <f>TEXT(Table1[[#This Row],[Order date ]],"dddd")</f>
        <v>الأربعاء</v>
      </c>
      <c r="N57">
        <f>MONTH(Table1[[#This Row],[Order date ]])</f>
        <v>2</v>
      </c>
      <c r="O57" t="str">
        <f>TEXT(Table1[[#This Row],[Order date ]],"mmm")</f>
        <v>فبراير</v>
      </c>
      <c r="P57">
        <f>ROUNDUP(Table1[[#This Row],[month]]/3,0)</f>
        <v>1</v>
      </c>
      <c r="Q57" t="str">
        <f>"Q"&amp;ROUNDUP(Table1[[#This Row],[month]]/3,0)</f>
        <v>Q1</v>
      </c>
    </row>
    <row r="58" spans="5:17" x14ac:dyDescent="0.25">
      <c r="E58">
        <v>54</v>
      </c>
      <c r="F58" t="s">
        <v>28</v>
      </c>
      <c r="G58" t="s">
        <v>37</v>
      </c>
      <c r="H58" t="s">
        <v>21</v>
      </c>
      <c r="I58">
        <v>6580</v>
      </c>
      <c r="J58">
        <v>183</v>
      </c>
      <c r="K58" s="8">
        <v>44980</v>
      </c>
      <c r="L58">
        <f>Table1[[#This Row],[unit price]]*Table1[[#This Row],[Units]]</f>
        <v>1204140</v>
      </c>
      <c r="M58" t="str">
        <f>TEXT(Table1[[#This Row],[Order date ]],"dddd")</f>
        <v>الخميس</v>
      </c>
      <c r="N58">
        <f>MONTH(Table1[[#This Row],[Order date ]])</f>
        <v>2</v>
      </c>
      <c r="O58" t="str">
        <f>TEXT(Table1[[#This Row],[Order date ]],"mmm")</f>
        <v>فبراير</v>
      </c>
      <c r="P58">
        <f>ROUNDUP(Table1[[#This Row],[month]]/3,0)</f>
        <v>1</v>
      </c>
      <c r="Q58" t="str">
        <f>"Q"&amp;ROUNDUP(Table1[[#This Row],[month]]/3,0)</f>
        <v>Q1</v>
      </c>
    </row>
    <row r="59" spans="5:17" x14ac:dyDescent="0.25">
      <c r="E59">
        <v>55</v>
      </c>
      <c r="F59" t="s">
        <v>30</v>
      </c>
      <c r="G59" t="s">
        <v>45</v>
      </c>
      <c r="H59" t="s">
        <v>6</v>
      </c>
      <c r="I59">
        <v>4760</v>
      </c>
      <c r="J59">
        <v>69</v>
      </c>
      <c r="K59" s="8">
        <v>44981</v>
      </c>
      <c r="L59">
        <f>Table1[[#This Row],[unit price]]*Table1[[#This Row],[Units]]</f>
        <v>328440</v>
      </c>
      <c r="M59" t="str">
        <f>TEXT(Table1[[#This Row],[Order date ]],"dddd")</f>
        <v>الجمعة</v>
      </c>
      <c r="N59">
        <f>MONTH(Table1[[#This Row],[Order date ]])</f>
        <v>2</v>
      </c>
      <c r="O59" t="str">
        <f>TEXT(Table1[[#This Row],[Order date ]],"mmm")</f>
        <v>فبراير</v>
      </c>
      <c r="P59">
        <f>ROUNDUP(Table1[[#This Row],[month]]/3,0)</f>
        <v>1</v>
      </c>
      <c r="Q59" t="str">
        <f>"Q"&amp;ROUNDUP(Table1[[#This Row],[month]]/3,0)</f>
        <v>Q1</v>
      </c>
    </row>
    <row r="60" spans="5:17" x14ac:dyDescent="0.25">
      <c r="E60">
        <v>56</v>
      </c>
      <c r="F60" t="s">
        <v>36</v>
      </c>
      <c r="G60" t="s">
        <v>38</v>
      </c>
      <c r="H60" t="s">
        <v>18</v>
      </c>
      <c r="I60">
        <v>5439</v>
      </c>
      <c r="J60">
        <v>30</v>
      </c>
      <c r="K60" s="8">
        <v>44982</v>
      </c>
      <c r="L60">
        <f>Table1[[#This Row],[unit price]]*Table1[[#This Row],[Units]]</f>
        <v>163170</v>
      </c>
      <c r="M60" t="str">
        <f>TEXT(Table1[[#This Row],[Order date ]],"dddd")</f>
        <v>السبت</v>
      </c>
      <c r="N60">
        <f>MONTH(Table1[[#This Row],[Order date ]])</f>
        <v>2</v>
      </c>
      <c r="O60" t="str">
        <f>TEXT(Table1[[#This Row],[Order date ]],"mmm")</f>
        <v>فبراير</v>
      </c>
      <c r="P60">
        <f>ROUNDUP(Table1[[#This Row],[month]]/3,0)</f>
        <v>1</v>
      </c>
      <c r="Q60" t="str">
        <f>"Q"&amp;ROUNDUP(Table1[[#This Row],[month]]/3,0)</f>
        <v>Q1</v>
      </c>
    </row>
    <row r="61" spans="5:17" x14ac:dyDescent="0.25">
      <c r="E61">
        <v>57</v>
      </c>
      <c r="F61" t="s">
        <v>30</v>
      </c>
      <c r="G61" t="s">
        <v>39</v>
      </c>
      <c r="H61" t="s">
        <v>10</v>
      </c>
      <c r="I61">
        <v>1463</v>
      </c>
      <c r="J61">
        <v>39</v>
      </c>
      <c r="K61" s="8">
        <v>44983</v>
      </c>
      <c r="L61">
        <f>Table1[[#This Row],[unit price]]*Table1[[#This Row],[Units]]</f>
        <v>57057</v>
      </c>
      <c r="M61" t="str">
        <f>TEXT(Table1[[#This Row],[Order date ]],"dddd")</f>
        <v>الأحد</v>
      </c>
      <c r="N61">
        <f>MONTH(Table1[[#This Row],[Order date ]])</f>
        <v>2</v>
      </c>
      <c r="O61" t="str">
        <f>TEXT(Table1[[#This Row],[Order date ]],"mmm")</f>
        <v>فبراير</v>
      </c>
      <c r="P61">
        <f>ROUNDUP(Table1[[#This Row],[month]]/3,0)</f>
        <v>1</v>
      </c>
      <c r="Q61" t="str">
        <f>"Q"&amp;ROUNDUP(Table1[[#This Row],[month]]/3,0)</f>
        <v>Q1</v>
      </c>
    </row>
    <row r="62" spans="5:17" x14ac:dyDescent="0.25">
      <c r="E62">
        <v>58</v>
      </c>
      <c r="F62" t="s">
        <v>34</v>
      </c>
      <c r="G62" t="s">
        <v>39</v>
      </c>
      <c r="H62" t="s">
        <v>25</v>
      </c>
      <c r="I62">
        <v>7777</v>
      </c>
      <c r="J62">
        <v>504</v>
      </c>
      <c r="K62" s="8">
        <v>44984</v>
      </c>
      <c r="L62">
        <f>Table1[[#This Row],[unit price]]*Table1[[#This Row],[Units]]</f>
        <v>3919608</v>
      </c>
      <c r="M62" t="str">
        <f>TEXT(Table1[[#This Row],[Order date ]],"dddd")</f>
        <v>الإثنين</v>
      </c>
      <c r="N62">
        <f>MONTH(Table1[[#This Row],[Order date ]])</f>
        <v>2</v>
      </c>
      <c r="O62" t="str">
        <f>TEXT(Table1[[#This Row],[Order date ]],"mmm")</f>
        <v>فبراير</v>
      </c>
      <c r="P62">
        <f>ROUNDUP(Table1[[#This Row],[month]]/3,0)</f>
        <v>1</v>
      </c>
      <c r="Q62" t="str">
        <f>"Q"&amp;ROUNDUP(Table1[[#This Row],[month]]/3,0)</f>
        <v>Q1</v>
      </c>
    </row>
    <row r="63" spans="5:17" x14ac:dyDescent="0.25">
      <c r="E63">
        <v>59</v>
      </c>
      <c r="F63" t="s">
        <v>3</v>
      </c>
      <c r="G63" t="s">
        <v>40</v>
      </c>
      <c r="H63" t="s">
        <v>22</v>
      </c>
      <c r="I63">
        <v>1085</v>
      </c>
      <c r="J63">
        <v>273</v>
      </c>
      <c r="K63" s="8">
        <v>44985</v>
      </c>
      <c r="L63">
        <f>Table1[[#This Row],[unit price]]*Table1[[#This Row],[Units]]</f>
        <v>296205</v>
      </c>
      <c r="M63" t="str">
        <f>TEXT(Table1[[#This Row],[Order date ]],"dddd")</f>
        <v>الثلاثاء</v>
      </c>
      <c r="N63">
        <f>MONTH(Table1[[#This Row],[Order date ]])</f>
        <v>2</v>
      </c>
      <c r="O63" t="str">
        <f>TEXT(Table1[[#This Row],[Order date ]],"mmm")</f>
        <v>فبراير</v>
      </c>
      <c r="P63">
        <f>ROUNDUP(Table1[[#This Row],[month]]/3,0)</f>
        <v>1</v>
      </c>
      <c r="Q63" t="str">
        <f>"Q"&amp;ROUNDUP(Table1[[#This Row],[month]]/3,0)</f>
        <v>Q1</v>
      </c>
    </row>
    <row r="64" spans="5:17" x14ac:dyDescent="0.25">
      <c r="E64">
        <v>60</v>
      </c>
      <c r="F64" t="s">
        <v>33</v>
      </c>
      <c r="G64" t="s">
        <v>40</v>
      </c>
      <c r="H64" t="s">
        <v>24</v>
      </c>
      <c r="I64">
        <v>182</v>
      </c>
      <c r="J64">
        <v>48</v>
      </c>
      <c r="K64" s="8">
        <v>44986</v>
      </c>
      <c r="L64">
        <f>Table1[[#This Row],[unit price]]*Table1[[#This Row],[Units]]</f>
        <v>8736</v>
      </c>
      <c r="M64" t="str">
        <f>TEXT(Table1[[#This Row],[Order date ]],"dddd")</f>
        <v>الأربعاء</v>
      </c>
      <c r="N64">
        <f>MONTH(Table1[[#This Row],[Order date ]])</f>
        <v>3</v>
      </c>
      <c r="O64" t="str">
        <f>TEXT(Table1[[#This Row],[Order date ]],"mmm")</f>
        <v>مارس</v>
      </c>
      <c r="P64">
        <f>ROUNDUP(Table1[[#This Row],[month]]/3,0)</f>
        <v>1</v>
      </c>
      <c r="Q64" t="str">
        <f>"Q"&amp;ROUNDUP(Table1[[#This Row],[month]]/3,0)</f>
        <v>Q1</v>
      </c>
    </row>
    <row r="65" spans="5:17" x14ac:dyDescent="0.25">
      <c r="E65">
        <v>61</v>
      </c>
      <c r="F65" t="s">
        <v>32</v>
      </c>
      <c r="G65" t="s">
        <v>39</v>
      </c>
      <c r="H65" t="s">
        <v>20</v>
      </c>
      <c r="I65">
        <v>4242</v>
      </c>
      <c r="J65">
        <v>207</v>
      </c>
      <c r="K65" s="8">
        <v>44987</v>
      </c>
      <c r="L65">
        <f>Table1[[#This Row],[unit price]]*Table1[[#This Row],[Units]]</f>
        <v>878094</v>
      </c>
      <c r="M65" t="str">
        <f>TEXT(Table1[[#This Row],[Order date ]],"dddd")</f>
        <v>الخميس</v>
      </c>
      <c r="N65">
        <f>MONTH(Table1[[#This Row],[Order date ]])</f>
        <v>3</v>
      </c>
      <c r="O65" t="str">
        <f>TEXT(Table1[[#This Row],[Order date ]],"mmm")</f>
        <v>مارس</v>
      </c>
      <c r="P65">
        <f>ROUNDUP(Table1[[#This Row],[month]]/3,0)</f>
        <v>1</v>
      </c>
      <c r="Q65" t="str">
        <f>"Q"&amp;ROUNDUP(Table1[[#This Row],[month]]/3,0)</f>
        <v>Q1</v>
      </c>
    </row>
    <row r="66" spans="5:17" x14ac:dyDescent="0.25">
      <c r="E66">
        <v>62</v>
      </c>
      <c r="F66" t="s">
        <v>32</v>
      </c>
      <c r="G66" t="s">
        <v>38</v>
      </c>
      <c r="H66" t="s">
        <v>25</v>
      </c>
      <c r="I66">
        <v>6118</v>
      </c>
      <c r="J66">
        <v>9</v>
      </c>
      <c r="K66" s="8">
        <v>44988</v>
      </c>
      <c r="L66">
        <f>Table1[[#This Row],[unit price]]*Table1[[#This Row],[Units]]</f>
        <v>55062</v>
      </c>
      <c r="M66" t="str">
        <f>TEXT(Table1[[#This Row],[Order date ]],"dddd")</f>
        <v>الجمعة</v>
      </c>
      <c r="N66">
        <f>MONTH(Table1[[#This Row],[Order date ]])</f>
        <v>3</v>
      </c>
      <c r="O66" t="str">
        <f>TEXT(Table1[[#This Row],[Order date ]],"mmm")</f>
        <v>مارس</v>
      </c>
      <c r="P66">
        <f>ROUNDUP(Table1[[#This Row],[month]]/3,0)</f>
        <v>1</v>
      </c>
      <c r="Q66" t="str">
        <f>"Q"&amp;ROUNDUP(Table1[[#This Row],[month]]/3,0)</f>
        <v>Q1</v>
      </c>
    </row>
    <row r="67" spans="5:17" x14ac:dyDescent="0.25">
      <c r="E67">
        <v>63</v>
      </c>
      <c r="F67" t="s">
        <v>35</v>
      </c>
      <c r="G67" t="s">
        <v>38</v>
      </c>
      <c r="H67" t="s">
        <v>16</v>
      </c>
      <c r="I67">
        <v>2317</v>
      </c>
      <c r="J67">
        <v>261</v>
      </c>
      <c r="K67" s="8">
        <v>44989</v>
      </c>
      <c r="L67">
        <f>Table1[[#This Row],[unit price]]*Table1[[#This Row],[Units]]</f>
        <v>604737</v>
      </c>
      <c r="M67" t="str">
        <f>TEXT(Table1[[#This Row],[Order date ]],"dddd")</f>
        <v>السبت</v>
      </c>
      <c r="N67">
        <f>MONTH(Table1[[#This Row],[Order date ]])</f>
        <v>3</v>
      </c>
      <c r="O67" t="str">
        <f>TEXT(Table1[[#This Row],[Order date ]],"mmm")</f>
        <v>مارس</v>
      </c>
      <c r="P67">
        <f>ROUNDUP(Table1[[#This Row],[month]]/3,0)</f>
        <v>1</v>
      </c>
      <c r="Q67" t="str">
        <f>"Q"&amp;ROUNDUP(Table1[[#This Row],[month]]/3,0)</f>
        <v>Q1</v>
      </c>
    </row>
    <row r="68" spans="5:17" x14ac:dyDescent="0.25">
      <c r="E68">
        <v>64</v>
      </c>
      <c r="F68" t="s">
        <v>32</v>
      </c>
      <c r="G68" t="s">
        <v>37</v>
      </c>
      <c r="H68" t="s">
        <v>9</v>
      </c>
      <c r="I68">
        <v>938</v>
      </c>
      <c r="J68">
        <v>6</v>
      </c>
      <c r="K68" s="8">
        <v>44990</v>
      </c>
      <c r="L68">
        <f>Table1[[#This Row],[unit price]]*Table1[[#This Row],[Units]]</f>
        <v>5628</v>
      </c>
      <c r="M68" t="str">
        <f>TEXT(Table1[[#This Row],[Order date ]],"dddd")</f>
        <v>الأحد</v>
      </c>
      <c r="N68">
        <f>MONTH(Table1[[#This Row],[Order date ]])</f>
        <v>3</v>
      </c>
      <c r="O68" t="str">
        <f>TEXT(Table1[[#This Row],[Order date ]],"mmm")</f>
        <v>مارس</v>
      </c>
      <c r="P68">
        <f>ROUNDUP(Table1[[#This Row],[month]]/3,0)</f>
        <v>1</v>
      </c>
      <c r="Q68" t="str">
        <f>"Q"&amp;ROUNDUP(Table1[[#This Row],[month]]/3,0)</f>
        <v>Q1</v>
      </c>
    </row>
    <row r="69" spans="5:17" x14ac:dyDescent="0.25">
      <c r="E69">
        <v>65</v>
      </c>
      <c r="F69" t="s">
        <v>29</v>
      </c>
      <c r="G69" t="s">
        <v>40</v>
      </c>
      <c r="H69" t="s">
        <v>8</v>
      </c>
      <c r="I69">
        <v>9709</v>
      </c>
      <c r="J69">
        <v>30</v>
      </c>
      <c r="K69" s="8">
        <v>44991</v>
      </c>
      <c r="L69">
        <f>Table1[[#This Row],[unit price]]*Table1[[#This Row],[Units]]</f>
        <v>291270</v>
      </c>
      <c r="M69" t="str">
        <f>TEXT(Table1[[#This Row],[Order date ]],"dddd")</f>
        <v>الإثنين</v>
      </c>
      <c r="N69">
        <f>MONTH(Table1[[#This Row],[Order date ]])</f>
        <v>3</v>
      </c>
      <c r="O69" t="str">
        <f>TEXT(Table1[[#This Row],[Order date ]],"mmm")</f>
        <v>مارس</v>
      </c>
      <c r="P69">
        <f>ROUNDUP(Table1[[#This Row],[month]]/3,0)</f>
        <v>1</v>
      </c>
      <c r="Q69" t="str">
        <f>"Q"&amp;ROUNDUP(Table1[[#This Row],[month]]/3,0)</f>
        <v>Q1</v>
      </c>
    </row>
    <row r="70" spans="5:17" x14ac:dyDescent="0.25">
      <c r="E70">
        <v>66</v>
      </c>
      <c r="F70" t="s">
        <v>31</v>
      </c>
      <c r="G70" t="s">
        <v>39</v>
      </c>
      <c r="H70" t="s">
        <v>13</v>
      </c>
      <c r="I70">
        <v>2205</v>
      </c>
      <c r="J70">
        <v>138</v>
      </c>
      <c r="K70" s="8">
        <v>44992</v>
      </c>
      <c r="L70">
        <f>Table1[[#This Row],[unit price]]*Table1[[#This Row],[Units]]</f>
        <v>304290</v>
      </c>
      <c r="M70" t="str">
        <f>TEXT(Table1[[#This Row],[Order date ]],"dddd")</f>
        <v>الثلاثاء</v>
      </c>
      <c r="N70">
        <f>MONTH(Table1[[#This Row],[Order date ]])</f>
        <v>3</v>
      </c>
      <c r="O70" t="str">
        <f>TEXT(Table1[[#This Row],[Order date ]],"mmm")</f>
        <v>مارس</v>
      </c>
      <c r="P70">
        <f>ROUNDUP(Table1[[#This Row],[month]]/3,0)</f>
        <v>1</v>
      </c>
      <c r="Q70" t="str">
        <f>"Q"&amp;ROUNDUP(Table1[[#This Row],[month]]/3,0)</f>
        <v>Q1</v>
      </c>
    </row>
    <row r="71" spans="5:17" x14ac:dyDescent="0.25">
      <c r="E71">
        <v>67</v>
      </c>
      <c r="F71" t="s">
        <v>31</v>
      </c>
      <c r="G71" t="s">
        <v>40</v>
      </c>
      <c r="H71" t="s">
        <v>10</v>
      </c>
      <c r="I71">
        <v>4487</v>
      </c>
      <c r="J71">
        <v>111</v>
      </c>
      <c r="K71" s="8">
        <v>44993</v>
      </c>
      <c r="L71">
        <f>Table1[[#This Row],[unit price]]*Table1[[#This Row],[Units]]</f>
        <v>498057</v>
      </c>
      <c r="M71" t="str">
        <f>TEXT(Table1[[#This Row],[Order date ]],"dddd")</f>
        <v>الأربعاء</v>
      </c>
      <c r="N71">
        <f>MONTH(Table1[[#This Row],[Order date ]])</f>
        <v>3</v>
      </c>
      <c r="O71" t="str">
        <f>TEXT(Table1[[#This Row],[Order date ]],"mmm")</f>
        <v>مارس</v>
      </c>
      <c r="P71">
        <f>ROUNDUP(Table1[[#This Row],[month]]/3,0)</f>
        <v>1</v>
      </c>
      <c r="Q71" t="str">
        <f>"Q"&amp;ROUNDUP(Table1[[#This Row],[month]]/3,0)</f>
        <v>Q1</v>
      </c>
    </row>
    <row r="72" spans="5:17" x14ac:dyDescent="0.25">
      <c r="E72">
        <v>68</v>
      </c>
      <c r="F72" t="s">
        <v>33</v>
      </c>
      <c r="G72" t="s">
        <v>45</v>
      </c>
      <c r="H72" t="s">
        <v>11</v>
      </c>
      <c r="I72">
        <v>2415</v>
      </c>
      <c r="J72">
        <v>15</v>
      </c>
      <c r="K72" s="8">
        <v>44994</v>
      </c>
      <c r="L72">
        <f>Table1[[#This Row],[unit price]]*Table1[[#This Row],[Units]]</f>
        <v>36225</v>
      </c>
      <c r="M72" t="str">
        <f>TEXT(Table1[[#This Row],[Order date ]],"dddd")</f>
        <v>الخميس</v>
      </c>
      <c r="N72">
        <f>MONTH(Table1[[#This Row],[Order date ]])</f>
        <v>3</v>
      </c>
      <c r="O72" t="str">
        <f>TEXT(Table1[[#This Row],[Order date ]],"mmm")</f>
        <v>مارس</v>
      </c>
      <c r="P72">
        <f>ROUNDUP(Table1[[#This Row],[month]]/3,0)</f>
        <v>1</v>
      </c>
      <c r="Q72" t="str">
        <f>"Q"&amp;ROUNDUP(Table1[[#This Row],[month]]/3,0)</f>
        <v>Q1</v>
      </c>
    </row>
    <row r="73" spans="5:17" x14ac:dyDescent="0.25">
      <c r="E73">
        <v>69</v>
      </c>
      <c r="F73" t="s">
        <v>36</v>
      </c>
      <c r="G73" t="s">
        <v>39</v>
      </c>
      <c r="H73" t="s">
        <v>12</v>
      </c>
      <c r="I73">
        <v>4018</v>
      </c>
      <c r="J73">
        <v>162</v>
      </c>
      <c r="K73" s="8">
        <v>44995</v>
      </c>
      <c r="L73">
        <f>Table1[[#This Row],[unit price]]*Table1[[#This Row],[Units]]</f>
        <v>650916</v>
      </c>
      <c r="M73" t="str">
        <f>TEXT(Table1[[#This Row],[Order date ]],"dddd")</f>
        <v>الجمعة</v>
      </c>
      <c r="N73">
        <f>MONTH(Table1[[#This Row],[Order date ]])</f>
        <v>3</v>
      </c>
      <c r="O73" t="str">
        <f>TEXT(Table1[[#This Row],[Order date ]],"mmm")</f>
        <v>مارس</v>
      </c>
      <c r="P73">
        <f>ROUNDUP(Table1[[#This Row],[month]]/3,0)</f>
        <v>1</v>
      </c>
      <c r="Q73" t="str">
        <f>"Q"&amp;ROUNDUP(Table1[[#This Row],[month]]/3,0)</f>
        <v>Q1</v>
      </c>
    </row>
    <row r="74" spans="5:17" x14ac:dyDescent="0.25">
      <c r="E74">
        <v>70</v>
      </c>
      <c r="F74" t="s">
        <v>33</v>
      </c>
      <c r="G74" t="s">
        <v>39</v>
      </c>
      <c r="H74" t="s">
        <v>12</v>
      </c>
      <c r="I74">
        <v>861</v>
      </c>
      <c r="J74">
        <v>195</v>
      </c>
      <c r="K74" s="8">
        <v>44996</v>
      </c>
      <c r="L74">
        <f>Table1[[#This Row],[unit price]]*Table1[[#This Row],[Units]]</f>
        <v>167895</v>
      </c>
      <c r="M74" t="str">
        <f>TEXT(Table1[[#This Row],[Order date ]],"dddd")</f>
        <v>السبت</v>
      </c>
      <c r="N74">
        <f>MONTH(Table1[[#This Row],[Order date ]])</f>
        <v>3</v>
      </c>
      <c r="O74" t="str">
        <f>TEXT(Table1[[#This Row],[Order date ]],"mmm")</f>
        <v>مارس</v>
      </c>
      <c r="P74">
        <f>ROUNDUP(Table1[[#This Row],[month]]/3,0)</f>
        <v>1</v>
      </c>
      <c r="Q74" t="str">
        <f>"Q"&amp;ROUNDUP(Table1[[#This Row],[month]]/3,0)</f>
        <v>Q1</v>
      </c>
    </row>
    <row r="75" spans="5:17" x14ac:dyDescent="0.25">
      <c r="E75">
        <v>71</v>
      </c>
      <c r="F75" t="s">
        <v>35</v>
      </c>
      <c r="G75" t="s">
        <v>37</v>
      </c>
      <c r="H75" t="s">
        <v>7</v>
      </c>
      <c r="I75">
        <v>5586</v>
      </c>
      <c r="J75">
        <v>525</v>
      </c>
      <c r="K75" s="8">
        <v>44997</v>
      </c>
      <c r="L75">
        <f>Table1[[#This Row],[unit price]]*Table1[[#This Row],[Units]]</f>
        <v>2932650</v>
      </c>
      <c r="M75" t="str">
        <f>TEXT(Table1[[#This Row],[Order date ]],"dddd")</f>
        <v>الأحد</v>
      </c>
      <c r="N75">
        <f>MONTH(Table1[[#This Row],[Order date ]])</f>
        <v>3</v>
      </c>
      <c r="O75" t="str">
        <f>TEXT(Table1[[#This Row],[Order date ]],"mmm")</f>
        <v>مارس</v>
      </c>
      <c r="P75">
        <f>ROUNDUP(Table1[[#This Row],[month]]/3,0)</f>
        <v>1</v>
      </c>
      <c r="Q75" t="str">
        <f>"Q"&amp;ROUNDUP(Table1[[#This Row],[month]]/3,0)</f>
        <v>Q1</v>
      </c>
    </row>
    <row r="76" spans="5:17" x14ac:dyDescent="0.25">
      <c r="E76">
        <v>72</v>
      </c>
      <c r="F76" t="s">
        <v>31</v>
      </c>
      <c r="G76" t="s">
        <v>39</v>
      </c>
      <c r="H76" t="s">
        <v>26</v>
      </c>
      <c r="I76">
        <v>2226</v>
      </c>
      <c r="J76">
        <v>48</v>
      </c>
      <c r="K76" s="8">
        <v>44998</v>
      </c>
      <c r="L76">
        <f>Table1[[#This Row],[unit price]]*Table1[[#This Row],[Units]]</f>
        <v>106848</v>
      </c>
      <c r="M76" t="str">
        <f>TEXT(Table1[[#This Row],[Order date ]],"dddd")</f>
        <v>الإثنين</v>
      </c>
      <c r="N76">
        <f>MONTH(Table1[[#This Row],[Order date ]])</f>
        <v>3</v>
      </c>
      <c r="O76" t="str">
        <f>TEXT(Table1[[#This Row],[Order date ]],"mmm")</f>
        <v>مارس</v>
      </c>
      <c r="P76">
        <f>ROUNDUP(Table1[[#This Row],[month]]/3,0)</f>
        <v>1</v>
      </c>
      <c r="Q76" t="str">
        <f>"Q"&amp;ROUNDUP(Table1[[#This Row],[month]]/3,0)</f>
        <v>Q1</v>
      </c>
    </row>
    <row r="77" spans="5:17" x14ac:dyDescent="0.25">
      <c r="E77">
        <v>73</v>
      </c>
      <c r="F77" t="s">
        <v>3</v>
      </c>
      <c r="G77" t="s">
        <v>39</v>
      </c>
      <c r="H77" t="s">
        <v>21</v>
      </c>
      <c r="I77">
        <v>14329</v>
      </c>
      <c r="J77">
        <v>150</v>
      </c>
      <c r="K77" s="8">
        <v>44999</v>
      </c>
      <c r="L77">
        <f>Table1[[#This Row],[unit price]]*Table1[[#This Row],[Units]]</f>
        <v>2149350</v>
      </c>
      <c r="M77" t="str">
        <f>TEXT(Table1[[#This Row],[Order date ]],"dddd")</f>
        <v>الثلاثاء</v>
      </c>
      <c r="N77">
        <f>MONTH(Table1[[#This Row],[Order date ]])</f>
        <v>3</v>
      </c>
      <c r="O77" t="str">
        <f>TEXT(Table1[[#This Row],[Order date ]],"mmm")</f>
        <v>مارس</v>
      </c>
      <c r="P77">
        <f>ROUNDUP(Table1[[#This Row],[month]]/3,0)</f>
        <v>1</v>
      </c>
      <c r="Q77" t="str">
        <f>"Q"&amp;ROUNDUP(Table1[[#This Row],[month]]/3,0)</f>
        <v>Q1</v>
      </c>
    </row>
    <row r="78" spans="5:17" x14ac:dyDescent="0.25">
      <c r="E78">
        <v>74</v>
      </c>
      <c r="F78" t="s">
        <v>3</v>
      </c>
      <c r="G78" t="s">
        <v>39</v>
      </c>
      <c r="H78" t="s">
        <v>13</v>
      </c>
      <c r="I78">
        <v>8463</v>
      </c>
      <c r="J78">
        <v>492</v>
      </c>
      <c r="K78" s="8">
        <v>45000</v>
      </c>
      <c r="L78">
        <f>Table1[[#This Row],[unit price]]*Table1[[#This Row],[Units]]</f>
        <v>4163796</v>
      </c>
      <c r="M78" t="str">
        <f>TEXT(Table1[[#This Row],[Order date ]],"dddd")</f>
        <v>الأربعاء</v>
      </c>
      <c r="N78">
        <f>MONTH(Table1[[#This Row],[Order date ]])</f>
        <v>3</v>
      </c>
      <c r="O78" t="str">
        <f>TEXT(Table1[[#This Row],[Order date ]],"mmm")</f>
        <v>مارس</v>
      </c>
      <c r="P78">
        <f>ROUNDUP(Table1[[#This Row],[month]]/3,0)</f>
        <v>1</v>
      </c>
      <c r="Q78" t="str">
        <f>"Q"&amp;ROUNDUP(Table1[[#This Row],[month]]/3,0)</f>
        <v>Q1</v>
      </c>
    </row>
    <row r="79" spans="5:17" x14ac:dyDescent="0.25">
      <c r="E79">
        <v>75</v>
      </c>
      <c r="F79" t="s">
        <v>33</v>
      </c>
      <c r="G79" t="s">
        <v>39</v>
      </c>
      <c r="H79" t="s">
        <v>22</v>
      </c>
      <c r="I79">
        <v>2891</v>
      </c>
      <c r="J79">
        <v>102</v>
      </c>
      <c r="K79" s="8">
        <v>45001</v>
      </c>
      <c r="L79">
        <f>Table1[[#This Row],[unit price]]*Table1[[#This Row],[Units]]</f>
        <v>294882</v>
      </c>
      <c r="M79" t="str">
        <f>TEXT(Table1[[#This Row],[Order date ]],"dddd")</f>
        <v>الخميس</v>
      </c>
      <c r="N79">
        <f>MONTH(Table1[[#This Row],[Order date ]])</f>
        <v>3</v>
      </c>
      <c r="O79" t="str">
        <f>TEXT(Table1[[#This Row],[Order date ]],"mmm")</f>
        <v>مارس</v>
      </c>
      <c r="P79">
        <f>ROUNDUP(Table1[[#This Row],[month]]/3,0)</f>
        <v>1</v>
      </c>
      <c r="Q79" t="str">
        <f>"Q"&amp;ROUNDUP(Table1[[#This Row],[month]]/3,0)</f>
        <v>Q1</v>
      </c>
    </row>
    <row r="80" spans="5:17" x14ac:dyDescent="0.25">
      <c r="E80">
        <v>76</v>
      </c>
      <c r="F80" t="s">
        <v>34</v>
      </c>
      <c r="G80" t="s">
        <v>38</v>
      </c>
      <c r="H80" t="s">
        <v>16</v>
      </c>
      <c r="I80">
        <v>3773</v>
      </c>
      <c r="J80">
        <v>165</v>
      </c>
      <c r="K80" s="8">
        <v>45002</v>
      </c>
      <c r="L80">
        <f>Table1[[#This Row],[unit price]]*Table1[[#This Row],[Units]]</f>
        <v>622545</v>
      </c>
      <c r="M80" t="str">
        <f>TEXT(Table1[[#This Row],[Order date ]],"dddd")</f>
        <v>الجمعة</v>
      </c>
      <c r="N80">
        <f>MONTH(Table1[[#This Row],[Order date ]])</f>
        <v>3</v>
      </c>
      <c r="O80" t="str">
        <f>TEXT(Table1[[#This Row],[Order date ]],"mmm")</f>
        <v>مارس</v>
      </c>
      <c r="P80">
        <f>ROUNDUP(Table1[[#This Row],[month]]/3,0)</f>
        <v>1</v>
      </c>
      <c r="Q80" t="str">
        <f>"Q"&amp;ROUNDUP(Table1[[#This Row],[month]]/3,0)</f>
        <v>Q1</v>
      </c>
    </row>
    <row r="81" spans="5:17" x14ac:dyDescent="0.25">
      <c r="E81">
        <v>77</v>
      </c>
      <c r="F81" t="s">
        <v>30</v>
      </c>
      <c r="G81" t="s">
        <v>38</v>
      </c>
      <c r="H81" t="s">
        <v>21</v>
      </c>
      <c r="I81">
        <v>854</v>
      </c>
      <c r="J81">
        <v>309</v>
      </c>
      <c r="K81" s="8">
        <v>45003</v>
      </c>
      <c r="L81">
        <f>Table1[[#This Row],[unit price]]*Table1[[#This Row],[Units]]</f>
        <v>263886</v>
      </c>
      <c r="M81" t="str">
        <f>TEXT(Table1[[#This Row],[Order date ]],"dddd")</f>
        <v>السبت</v>
      </c>
      <c r="N81">
        <f>MONTH(Table1[[#This Row],[Order date ]])</f>
        <v>3</v>
      </c>
      <c r="O81" t="str">
        <f>TEXT(Table1[[#This Row],[Order date ]],"mmm")</f>
        <v>مارس</v>
      </c>
      <c r="P81">
        <f>ROUNDUP(Table1[[#This Row],[month]]/3,0)</f>
        <v>1</v>
      </c>
      <c r="Q81" t="str">
        <f>"Q"&amp;ROUNDUP(Table1[[#This Row],[month]]/3,0)</f>
        <v>Q1</v>
      </c>
    </row>
    <row r="82" spans="5:17" x14ac:dyDescent="0.25">
      <c r="E82">
        <v>78</v>
      </c>
      <c r="F82" t="s">
        <v>32</v>
      </c>
      <c r="G82" t="s">
        <v>38</v>
      </c>
      <c r="H82" t="s">
        <v>10</v>
      </c>
      <c r="I82">
        <v>4970</v>
      </c>
      <c r="J82">
        <v>156</v>
      </c>
      <c r="K82" s="8">
        <v>45004</v>
      </c>
      <c r="L82">
        <f>Table1[[#This Row],[unit price]]*Table1[[#This Row],[Units]]</f>
        <v>775320</v>
      </c>
      <c r="M82" t="str">
        <f>TEXT(Table1[[#This Row],[Order date ]],"dddd")</f>
        <v>الأحد</v>
      </c>
      <c r="N82">
        <f>MONTH(Table1[[#This Row],[Order date ]])</f>
        <v>3</v>
      </c>
      <c r="O82" t="str">
        <f>TEXT(Table1[[#This Row],[Order date ]],"mmm")</f>
        <v>مارس</v>
      </c>
      <c r="P82">
        <f>ROUNDUP(Table1[[#This Row],[month]]/3,0)</f>
        <v>1</v>
      </c>
      <c r="Q82" t="str">
        <f>"Q"&amp;ROUNDUP(Table1[[#This Row],[month]]/3,0)</f>
        <v>Q1</v>
      </c>
    </row>
    <row r="83" spans="5:17" x14ac:dyDescent="0.25">
      <c r="E83">
        <v>79</v>
      </c>
      <c r="F83" t="s">
        <v>3</v>
      </c>
      <c r="G83" t="s">
        <v>45</v>
      </c>
      <c r="H83" t="s">
        <v>19</v>
      </c>
      <c r="I83">
        <v>98</v>
      </c>
      <c r="J83">
        <v>159</v>
      </c>
      <c r="K83" s="8">
        <v>45005</v>
      </c>
      <c r="L83">
        <f>Table1[[#This Row],[unit price]]*Table1[[#This Row],[Units]]</f>
        <v>15582</v>
      </c>
      <c r="M83" t="str">
        <f>TEXT(Table1[[#This Row],[Order date ]],"dddd")</f>
        <v>الإثنين</v>
      </c>
      <c r="N83">
        <f>MONTH(Table1[[#This Row],[Order date ]])</f>
        <v>3</v>
      </c>
      <c r="O83" t="str">
        <f>TEXT(Table1[[#This Row],[Order date ]],"mmm")</f>
        <v>مارس</v>
      </c>
      <c r="P83">
        <f>ROUNDUP(Table1[[#This Row],[month]]/3,0)</f>
        <v>1</v>
      </c>
      <c r="Q83" t="str">
        <f>"Q"&amp;ROUNDUP(Table1[[#This Row],[month]]/3,0)</f>
        <v>Q1</v>
      </c>
    </row>
    <row r="84" spans="5:17" x14ac:dyDescent="0.25">
      <c r="E84">
        <v>80</v>
      </c>
      <c r="F84" t="s">
        <v>33</v>
      </c>
      <c r="G84" t="s">
        <v>45</v>
      </c>
      <c r="H84" t="s">
        <v>8</v>
      </c>
      <c r="I84">
        <v>13391</v>
      </c>
      <c r="J84">
        <v>201</v>
      </c>
      <c r="K84" s="8">
        <v>45006</v>
      </c>
      <c r="L84">
        <f>Table1[[#This Row],[unit price]]*Table1[[#This Row],[Units]]</f>
        <v>2691591</v>
      </c>
      <c r="M84" t="str">
        <f>TEXT(Table1[[#This Row],[Order date ]],"dddd")</f>
        <v>الثلاثاء</v>
      </c>
      <c r="N84">
        <f>MONTH(Table1[[#This Row],[Order date ]])</f>
        <v>3</v>
      </c>
      <c r="O84" t="str">
        <f>TEXT(Table1[[#This Row],[Order date ]],"mmm")</f>
        <v>مارس</v>
      </c>
      <c r="P84">
        <f>ROUNDUP(Table1[[#This Row],[month]]/3,0)</f>
        <v>1</v>
      </c>
      <c r="Q84" t="str">
        <f>"Q"&amp;ROUNDUP(Table1[[#This Row],[month]]/3,0)</f>
        <v>Q1</v>
      </c>
    </row>
    <row r="85" spans="5:17" x14ac:dyDescent="0.25">
      <c r="E85">
        <v>81</v>
      </c>
      <c r="F85" t="s">
        <v>29</v>
      </c>
      <c r="G85" t="s">
        <v>43</v>
      </c>
      <c r="H85" t="s">
        <v>24</v>
      </c>
      <c r="I85">
        <v>8890</v>
      </c>
      <c r="J85">
        <v>210</v>
      </c>
      <c r="K85" s="8">
        <v>45007</v>
      </c>
      <c r="L85">
        <f>Table1[[#This Row],[unit price]]*Table1[[#This Row],[Units]]</f>
        <v>1866900</v>
      </c>
      <c r="M85" t="str">
        <f>TEXT(Table1[[#This Row],[Order date ]],"dddd")</f>
        <v>الأربعاء</v>
      </c>
      <c r="N85">
        <f>MONTH(Table1[[#This Row],[Order date ]])</f>
        <v>3</v>
      </c>
      <c r="O85" t="str">
        <f>TEXT(Table1[[#This Row],[Order date ]],"mmm")</f>
        <v>مارس</v>
      </c>
      <c r="P85">
        <f>ROUNDUP(Table1[[#This Row],[month]]/3,0)</f>
        <v>1</v>
      </c>
      <c r="Q85" t="str">
        <f>"Q"&amp;ROUNDUP(Table1[[#This Row],[month]]/3,0)</f>
        <v>Q1</v>
      </c>
    </row>
    <row r="86" spans="5:17" x14ac:dyDescent="0.25">
      <c r="E86">
        <v>82</v>
      </c>
      <c r="F86" t="s">
        <v>28</v>
      </c>
      <c r="G86" t="s">
        <v>37</v>
      </c>
      <c r="H86" t="s">
        <v>6</v>
      </c>
      <c r="I86">
        <v>56</v>
      </c>
      <c r="J86">
        <v>51</v>
      </c>
      <c r="K86" s="8">
        <v>45008</v>
      </c>
      <c r="L86">
        <f>Table1[[#This Row],[unit price]]*Table1[[#This Row],[Units]]</f>
        <v>2856</v>
      </c>
      <c r="M86" t="str">
        <f>TEXT(Table1[[#This Row],[Order date ]],"dddd")</f>
        <v>الخميس</v>
      </c>
      <c r="N86">
        <f>MONTH(Table1[[#This Row],[Order date ]])</f>
        <v>3</v>
      </c>
      <c r="O86" t="str">
        <f>TEXT(Table1[[#This Row],[Order date ]],"mmm")</f>
        <v>مارس</v>
      </c>
      <c r="P86">
        <f>ROUNDUP(Table1[[#This Row],[month]]/3,0)</f>
        <v>1</v>
      </c>
      <c r="Q86" t="str">
        <f>"Q"&amp;ROUNDUP(Table1[[#This Row],[month]]/3,0)</f>
        <v>Q1</v>
      </c>
    </row>
    <row r="87" spans="5:17" x14ac:dyDescent="0.25">
      <c r="E87">
        <v>83</v>
      </c>
      <c r="F87" t="s">
        <v>34</v>
      </c>
      <c r="G87" t="s">
        <v>38</v>
      </c>
      <c r="H87" t="s">
        <v>18</v>
      </c>
      <c r="I87">
        <v>3339</v>
      </c>
      <c r="J87">
        <v>39</v>
      </c>
      <c r="K87" s="8">
        <v>45009</v>
      </c>
      <c r="L87">
        <f>Table1[[#This Row],[unit price]]*Table1[[#This Row],[Units]]</f>
        <v>130221</v>
      </c>
      <c r="M87" t="str">
        <f>TEXT(Table1[[#This Row],[Order date ]],"dddd")</f>
        <v>الجمعة</v>
      </c>
      <c r="N87">
        <f>MONTH(Table1[[#This Row],[Order date ]])</f>
        <v>3</v>
      </c>
      <c r="O87" t="str">
        <f>TEXT(Table1[[#This Row],[Order date ]],"mmm")</f>
        <v>مارس</v>
      </c>
      <c r="P87">
        <f>ROUNDUP(Table1[[#This Row],[month]]/3,0)</f>
        <v>1</v>
      </c>
      <c r="Q87" t="str">
        <f>"Q"&amp;ROUNDUP(Table1[[#This Row],[month]]/3,0)</f>
        <v>Q1</v>
      </c>
    </row>
    <row r="88" spans="5:17" x14ac:dyDescent="0.25">
      <c r="E88">
        <v>84</v>
      </c>
      <c r="F88" t="s">
        <v>35</v>
      </c>
      <c r="G88" t="s">
        <v>45</v>
      </c>
      <c r="H88" t="s">
        <v>11</v>
      </c>
      <c r="I88">
        <v>3808</v>
      </c>
      <c r="J88">
        <v>279</v>
      </c>
      <c r="K88" s="8">
        <v>45010</v>
      </c>
      <c r="L88">
        <f>Table1[[#This Row],[unit price]]*Table1[[#This Row],[Units]]</f>
        <v>1062432</v>
      </c>
      <c r="M88" t="str">
        <f>TEXT(Table1[[#This Row],[Order date ]],"dddd")</f>
        <v>السبت</v>
      </c>
      <c r="N88">
        <f>MONTH(Table1[[#This Row],[Order date ]])</f>
        <v>3</v>
      </c>
      <c r="O88" t="str">
        <f>TEXT(Table1[[#This Row],[Order date ]],"mmm")</f>
        <v>مارس</v>
      </c>
      <c r="P88">
        <f>ROUNDUP(Table1[[#This Row],[month]]/3,0)</f>
        <v>1</v>
      </c>
      <c r="Q88" t="str">
        <f>"Q"&amp;ROUNDUP(Table1[[#This Row],[month]]/3,0)</f>
        <v>Q1</v>
      </c>
    </row>
    <row r="89" spans="5:17" x14ac:dyDescent="0.25">
      <c r="E89">
        <v>85</v>
      </c>
      <c r="F89" t="s">
        <v>35</v>
      </c>
      <c r="G89" t="s">
        <v>37</v>
      </c>
      <c r="H89" t="s">
        <v>6</v>
      </c>
      <c r="I89">
        <v>63</v>
      </c>
      <c r="J89">
        <v>123</v>
      </c>
      <c r="K89" s="8">
        <v>45011</v>
      </c>
      <c r="L89">
        <f>Table1[[#This Row],[unit price]]*Table1[[#This Row],[Units]]</f>
        <v>7749</v>
      </c>
      <c r="M89" t="str">
        <f>TEXT(Table1[[#This Row],[Order date ]],"dddd")</f>
        <v>الأحد</v>
      </c>
      <c r="N89">
        <f>MONTH(Table1[[#This Row],[Order date ]])</f>
        <v>3</v>
      </c>
      <c r="O89" t="str">
        <f>TEXT(Table1[[#This Row],[Order date ]],"mmm")</f>
        <v>مارس</v>
      </c>
      <c r="P89">
        <f>ROUNDUP(Table1[[#This Row],[month]]/3,0)</f>
        <v>1</v>
      </c>
      <c r="Q89" t="str">
        <f>"Q"&amp;ROUNDUP(Table1[[#This Row],[month]]/3,0)</f>
        <v>Q1</v>
      </c>
    </row>
    <row r="90" spans="5:17" x14ac:dyDescent="0.25">
      <c r="E90">
        <v>86</v>
      </c>
      <c r="F90" t="s">
        <v>28</v>
      </c>
      <c r="G90" t="s">
        <v>43</v>
      </c>
      <c r="H90" t="s">
        <v>20</v>
      </c>
      <c r="I90">
        <v>7812</v>
      </c>
      <c r="J90">
        <v>81</v>
      </c>
      <c r="K90" s="8">
        <v>45012</v>
      </c>
      <c r="L90">
        <f>Table1[[#This Row],[unit price]]*Table1[[#This Row],[Units]]</f>
        <v>632772</v>
      </c>
      <c r="M90" t="str">
        <f>TEXT(Table1[[#This Row],[Order date ]],"dddd")</f>
        <v>الإثنين</v>
      </c>
      <c r="N90">
        <f>MONTH(Table1[[#This Row],[Order date ]])</f>
        <v>3</v>
      </c>
      <c r="O90" t="str">
        <f>TEXT(Table1[[#This Row],[Order date ]],"mmm")</f>
        <v>مارس</v>
      </c>
      <c r="P90">
        <f>ROUNDUP(Table1[[#This Row],[month]]/3,0)</f>
        <v>1</v>
      </c>
      <c r="Q90" t="str">
        <f>"Q"&amp;ROUNDUP(Table1[[#This Row],[month]]/3,0)</f>
        <v>Q1</v>
      </c>
    </row>
    <row r="91" spans="5:17" x14ac:dyDescent="0.25">
      <c r="E91">
        <v>87</v>
      </c>
      <c r="F91" t="s">
        <v>36</v>
      </c>
      <c r="G91" t="s">
        <v>40</v>
      </c>
      <c r="H91" t="s">
        <v>12</v>
      </c>
      <c r="I91">
        <v>7693</v>
      </c>
      <c r="J91">
        <v>21</v>
      </c>
      <c r="K91" s="8">
        <v>45013</v>
      </c>
      <c r="L91">
        <f>Table1[[#This Row],[unit price]]*Table1[[#This Row],[Units]]</f>
        <v>161553</v>
      </c>
      <c r="M91" t="str">
        <f>TEXT(Table1[[#This Row],[Order date ]],"dddd")</f>
        <v>الثلاثاء</v>
      </c>
      <c r="N91">
        <f>MONTH(Table1[[#This Row],[Order date ]])</f>
        <v>3</v>
      </c>
      <c r="O91" t="str">
        <f>TEXT(Table1[[#This Row],[Order date ]],"mmm")</f>
        <v>مارس</v>
      </c>
      <c r="P91">
        <f>ROUNDUP(Table1[[#This Row],[month]]/3,0)</f>
        <v>1</v>
      </c>
      <c r="Q91" t="str">
        <f>"Q"&amp;ROUNDUP(Table1[[#This Row],[month]]/3,0)</f>
        <v>Q1</v>
      </c>
    </row>
    <row r="92" spans="5:17" x14ac:dyDescent="0.25">
      <c r="E92">
        <v>88</v>
      </c>
      <c r="F92" t="s">
        <v>34</v>
      </c>
      <c r="G92" t="s">
        <v>38</v>
      </c>
      <c r="H92" t="s">
        <v>21</v>
      </c>
      <c r="I92">
        <v>973</v>
      </c>
      <c r="J92">
        <v>162</v>
      </c>
      <c r="K92" s="8">
        <v>45014</v>
      </c>
      <c r="L92">
        <f>Table1[[#This Row],[unit price]]*Table1[[#This Row],[Units]]</f>
        <v>157626</v>
      </c>
      <c r="M92" t="str">
        <f>TEXT(Table1[[#This Row],[Order date ]],"dddd")</f>
        <v>الأربعاء</v>
      </c>
      <c r="N92">
        <f>MONTH(Table1[[#This Row],[Order date ]])</f>
        <v>3</v>
      </c>
      <c r="O92" t="str">
        <f>TEXT(Table1[[#This Row],[Order date ]],"mmm")</f>
        <v>مارس</v>
      </c>
      <c r="P92">
        <f>ROUNDUP(Table1[[#This Row],[month]]/3,0)</f>
        <v>1</v>
      </c>
      <c r="Q92" t="str">
        <f>"Q"&amp;ROUNDUP(Table1[[#This Row],[month]]/3,0)</f>
        <v>Q1</v>
      </c>
    </row>
    <row r="93" spans="5:17" x14ac:dyDescent="0.25">
      <c r="E93">
        <v>89</v>
      </c>
      <c r="F93" t="s">
        <v>35</v>
      </c>
      <c r="G93" t="s">
        <v>45</v>
      </c>
      <c r="H93" t="s">
        <v>14</v>
      </c>
      <c r="I93">
        <v>567</v>
      </c>
      <c r="J93">
        <v>228</v>
      </c>
      <c r="K93" s="8">
        <v>45015</v>
      </c>
      <c r="L93">
        <f>Table1[[#This Row],[unit price]]*Table1[[#This Row],[Units]]</f>
        <v>129276</v>
      </c>
      <c r="M93" t="str">
        <f>TEXT(Table1[[#This Row],[Order date ]],"dddd")</f>
        <v>الخميس</v>
      </c>
      <c r="N93">
        <f>MONTH(Table1[[#This Row],[Order date ]])</f>
        <v>3</v>
      </c>
      <c r="O93" t="str">
        <f>TEXT(Table1[[#This Row],[Order date ]],"mmm")</f>
        <v>مارس</v>
      </c>
      <c r="P93">
        <f>ROUNDUP(Table1[[#This Row],[month]]/3,0)</f>
        <v>1</v>
      </c>
      <c r="Q93" t="str">
        <f>"Q"&amp;ROUNDUP(Table1[[#This Row],[month]]/3,0)</f>
        <v>Q1</v>
      </c>
    </row>
    <row r="94" spans="5:17" x14ac:dyDescent="0.25">
      <c r="E94">
        <v>90</v>
      </c>
      <c r="F94" t="s">
        <v>35</v>
      </c>
      <c r="G94" t="s">
        <v>38</v>
      </c>
      <c r="H94" t="s">
        <v>22</v>
      </c>
      <c r="I94">
        <v>2471</v>
      </c>
      <c r="J94">
        <v>342</v>
      </c>
      <c r="K94" s="8">
        <v>45016</v>
      </c>
      <c r="L94">
        <f>Table1[[#This Row],[unit price]]*Table1[[#This Row],[Units]]</f>
        <v>845082</v>
      </c>
      <c r="M94" t="str">
        <f>TEXT(Table1[[#This Row],[Order date ]],"dddd")</f>
        <v>الجمعة</v>
      </c>
      <c r="N94">
        <f>MONTH(Table1[[#This Row],[Order date ]])</f>
        <v>3</v>
      </c>
      <c r="O94" t="str">
        <f>TEXT(Table1[[#This Row],[Order date ]],"mmm")</f>
        <v>مارس</v>
      </c>
      <c r="P94">
        <f>ROUNDUP(Table1[[#This Row],[month]]/3,0)</f>
        <v>1</v>
      </c>
      <c r="Q94" t="str">
        <f>"Q"&amp;ROUNDUP(Table1[[#This Row],[month]]/3,0)</f>
        <v>Q1</v>
      </c>
    </row>
    <row r="95" spans="5:17" x14ac:dyDescent="0.25">
      <c r="E95">
        <v>91</v>
      </c>
      <c r="F95" t="s">
        <v>33</v>
      </c>
      <c r="G95" t="s">
        <v>37</v>
      </c>
      <c r="H95" t="s">
        <v>6</v>
      </c>
      <c r="I95">
        <v>7189</v>
      </c>
      <c r="J95">
        <v>54</v>
      </c>
      <c r="K95" s="8">
        <v>45017</v>
      </c>
      <c r="L95">
        <f>Table1[[#This Row],[unit price]]*Table1[[#This Row],[Units]]</f>
        <v>388206</v>
      </c>
      <c r="M95" t="str">
        <f>TEXT(Table1[[#This Row],[Order date ]],"dddd")</f>
        <v>السبت</v>
      </c>
      <c r="N95">
        <f>MONTH(Table1[[#This Row],[Order date ]])</f>
        <v>4</v>
      </c>
      <c r="O95" t="str">
        <f>TEXT(Table1[[#This Row],[Order date ]],"mmm")</f>
        <v>أبريل</v>
      </c>
      <c r="P95">
        <f>ROUNDUP(Table1[[#This Row],[month]]/3,0)</f>
        <v>2</v>
      </c>
      <c r="Q95" t="str">
        <f>"Q"&amp;ROUNDUP(Table1[[#This Row],[month]]/3,0)</f>
        <v>Q2</v>
      </c>
    </row>
    <row r="96" spans="5:17" x14ac:dyDescent="0.25">
      <c r="E96">
        <v>92</v>
      </c>
      <c r="F96" t="s">
        <v>30</v>
      </c>
      <c r="G96" t="s">
        <v>45</v>
      </c>
      <c r="H96" t="s">
        <v>21</v>
      </c>
      <c r="I96">
        <v>7455</v>
      </c>
      <c r="J96">
        <v>216</v>
      </c>
      <c r="K96" s="8">
        <v>45018</v>
      </c>
      <c r="L96">
        <f>Table1[[#This Row],[unit price]]*Table1[[#This Row],[Units]]</f>
        <v>1610280</v>
      </c>
      <c r="M96" t="str">
        <f>TEXT(Table1[[#This Row],[Order date ]],"dddd")</f>
        <v>الأحد</v>
      </c>
      <c r="N96">
        <f>MONTH(Table1[[#This Row],[Order date ]])</f>
        <v>4</v>
      </c>
      <c r="O96" t="str">
        <f>TEXT(Table1[[#This Row],[Order date ]],"mmm")</f>
        <v>أبريل</v>
      </c>
      <c r="P96">
        <f>ROUNDUP(Table1[[#This Row],[month]]/3,0)</f>
        <v>2</v>
      </c>
      <c r="Q96" t="str">
        <f>"Q"&amp;ROUNDUP(Table1[[#This Row],[month]]/3,0)</f>
        <v>Q2</v>
      </c>
    </row>
    <row r="97" spans="5:17" x14ac:dyDescent="0.25">
      <c r="E97">
        <v>93</v>
      </c>
      <c r="F97" t="s">
        <v>34</v>
      </c>
      <c r="G97" t="s">
        <v>39</v>
      </c>
      <c r="H97" t="s">
        <v>19</v>
      </c>
      <c r="I97">
        <v>3108</v>
      </c>
      <c r="J97">
        <v>54</v>
      </c>
      <c r="K97" s="8">
        <v>45019</v>
      </c>
      <c r="L97">
        <f>Table1[[#This Row],[unit price]]*Table1[[#This Row],[Units]]</f>
        <v>167832</v>
      </c>
      <c r="M97" t="str">
        <f>TEXT(Table1[[#This Row],[Order date ]],"dddd")</f>
        <v>الإثنين</v>
      </c>
      <c r="N97">
        <f>MONTH(Table1[[#This Row],[Order date ]])</f>
        <v>4</v>
      </c>
      <c r="O97" t="str">
        <f>TEXT(Table1[[#This Row],[Order date ]],"mmm")</f>
        <v>أبريل</v>
      </c>
      <c r="P97">
        <f>ROUNDUP(Table1[[#This Row],[month]]/3,0)</f>
        <v>2</v>
      </c>
      <c r="Q97" t="str">
        <f>"Q"&amp;ROUNDUP(Table1[[#This Row],[month]]/3,0)</f>
        <v>Q2</v>
      </c>
    </row>
    <row r="98" spans="5:17" x14ac:dyDescent="0.25">
      <c r="E98">
        <v>94</v>
      </c>
      <c r="F98" t="s">
        <v>32</v>
      </c>
      <c r="G98" t="s">
        <v>37</v>
      </c>
      <c r="H98" t="s">
        <v>18</v>
      </c>
      <c r="I98">
        <v>469</v>
      </c>
      <c r="J98">
        <v>75</v>
      </c>
      <c r="K98" s="8">
        <v>45020</v>
      </c>
      <c r="L98">
        <f>Table1[[#This Row],[unit price]]*Table1[[#This Row],[Units]]</f>
        <v>35175</v>
      </c>
      <c r="M98" t="str">
        <f>TEXT(Table1[[#This Row],[Order date ]],"dddd")</f>
        <v>الثلاثاء</v>
      </c>
      <c r="N98">
        <f>MONTH(Table1[[#This Row],[Order date ]])</f>
        <v>4</v>
      </c>
      <c r="O98" t="str">
        <f>TEXT(Table1[[#This Row],[Order date ]],"mmm")</f>
        <v>أبريل</v>
      </c>
      <c r="P98">
        <f>ROUNDUP(Table1[[#This Row],[month]]/3,0)</f>
        <v>2</v>
      </c>
      <c r="Q98" t="str">
        <f>"Q"&amp;ROUNDUP(Table1[[#This Row],[month]]/3,0)</f>
        <v>Q2</v>
      </c>
    </row>
    <row r="99" spans="5:17" x14ac:dyDescent="0.25">
      <c r="E99">
        <v>95</v>
      </c>
      <c r="F99" t="s">
        <v>3</v>
      </c>
      <c r="G99" t="s">
        <v>40</v>
      </c>
      <c r="H99" t="s">
        <v>16</v>
      </c>
      <c r="I99">
        <v>2737</v>
      </c>
      <c r="J99">
        <v>93</v>
      </c>
      <c r="K99" s="8">
        <v>45021</v>
      </c>
      <c r="L99">
        <f>Table1[[#This Row],[unit price]]*Table1[[#This Row],[Units]]</f>
        <v>254541</v>
      </c>
      <c r="M99" t="str">
        <f>TEXT(Table1[[#This Row],[Order date ]],"dddd")</f>
        <v>الأربعاء</v>
      </c>
      <c r="N99">
        <f>MONTH(Table1[[#This Row],[Order date ]])</f>
        <v>4</v>
      </c>
      <c r="O99" t="str">
        <f>TEXT(Table1[[#This Row],[Order date ]],"mmm")</f>
        <v>أبريل</v>
      </c>
      <c r="P99">
        <f>ROUNDUP(Table1[[#This Row],[month]]/3,0)</f>
        <v>2</v>
      </c>
      <c r="Q99" t="str">
        <f>"Q"&amp;ROUNDUP(Table1[[#This Row],[month]]/3,0)</f>
        <v>Q2</v>
      </c>
    </row>
    <row r="100" spans="5:17" x14ac:dyDescent="0.25">
      <c r="E100">
        <v>96</v>
      </c>
      <c r="F100" t="s">
        <v>3</v>
      </c>
      <c r="G100" t="s">
        <v>40</v>
      </c>
      <c r="H100" t="s">
        <v>18</v>
      </c>
      <c r="I100">
        <v>4305</v>
      </c>
      <c r="J100">
        <v>156</v>
      </c>
      <c r="K100" s="8">
        <v>45022</v>
      </c>
      <c r="L100">
        <f>Table1[[#This Row],[unit price]]*Table1[[#This Row],[Units]]</f>
        <v>671580</v>
      </c>
      <c r="M100" t="str">
        <f>TEXT(Table1[[#This Row],[Order date ]],"dddd")</f>
        <v>الخميس</v>
      </c>
      <c r="N100">
        <f>MONTH(Table1[[#This Row],[Order date ]])</f>
        <v>4</v>
      </c>
      <c r="O100" t="str">
        <f>TEXT(Table1[[#This Row],[Order date ]],"mmm")</f>
        <v>أبريل</v>
      </c>
      <c r="P100">
        <f>ROUNDUP(Table1[[#This Row],[month]]/3,0)</f>
        <v>2</v>
      </c>
      <c r="Q100" t="str">
        <f>"Q"&amp;ROUNDUP(Table1[[#This Row],[month]]/3,0)</f>
        <v>Q2</v>
      </c>
    </row>
    <row r="101" spans="5:17" x14ac:dyDescent="0.25">
      <c r="E101">
        <v>97</v>
      </c>
      <c r="F101" t="s">
        <v>3</v>
      </c>
      <c r="G101" t="s">
        <v>37</v>
      </c>
      <c r="H101" t="s">
        <v>10</v>
      </c>
      <c r="I101">
        <v>2408</v>
      </c>
      <c r="J101">
        <v>9</v>
      </c>
      <c r="K101" s="8">
        <v>45023</v>
      </c>
      <c r="L101">
        <f>Table1[[#This Row],[unit price]]*Table1[[#This Row],[Units]]</f>
        <v>21672</v>
      </c>
      <c r="M101" t="str">
        <f>TEXT(Table1[[#This Row],[Order date ]],"dddd")</f>
        <v>الجمعة</v>
      </c>
      <c r="N101">
        <f>MONTH(Table1[[#This Row],[Order date ]])</f>
        <v>4</v>
      </c>
      <c r="O101" t="str">
        <f>TEXT(Table1[[#This Row],[Order date ]],"mmm")</f>
        <v>أبريل</v>
      </c>
      <c r="P101">
        <f>ROUNDUP(Table1[[#This Row],[month]]/3,0)</f>
        <v>2</v>
      </c>
      <c r="Q101" t="str">
        <f>"Q"&amp;ROUNDUP(Table1[[#This Row],[month]]/3,0)</f>
        <v>Q2</v>
      </c>
    </row>
    <row r="102" spans="5:17" x14ac:dyDescent="0.25">
      <c r="E102">
        <v>98</v>
      </c>
      <c r="F102" t="s">
        <v>34</v>
      </c>
      <c r="G102" t="s">
        <v>38</v>
      </c>
      <c r="H102" t="s">
        <v>12</v>
      </c>
      <c r="I102">
        <v>1281</v>
      </c>
      <c r="J102">
        <v>18</v>
      </c>
      <c r="K102" s="8">
        <v>45024</v>
      </c>
      <c r="L102">
        <f>Table1[[#This Row],[unit price]]*Table1[[#This Row],[Units]]</f>
        <v>23058</v>
      </c>
      <c r="M102" t="str">
        <f>TEXT(Table1[[#This Row],[Order date ]],"dddd")</f>
        <v>السبت</v>
      </c>
      <c r="N102">
        <f>MONTH(Table1[[#This Row],[Order date ]])</f>
        <v>4</v>
      </c>
      <c r="O102" t="str">
        <f>TEXT(Table1[[#This Row],[Order date ]],"mmm")</f>
        <v>أبريل</v>
      </c>
      <c r="P102">
        <f>ROUNDUP(Table1[[#This Row],[month]]/3,0)</f>
        <v>2</v>
      </c>
      <c r="Q102" t="str">
        <f>"Q"&amp;ROUNDUP(Table1[[#This Row],[month]]/3,0)</f>
        <v>Q2</v>
      </c>
    </row>
    <row r="103" spans="5:17" x14ac:dyDescent="0.25">
      <c r="E103">
        <v>99</v>
      </c>
      <c r="F103" t="s">
        <v>36</v>
      </c>
      <c r="G103" t="s">
        <v>45</v>
      </c>
      <c r="H103" t="s">
        <v>25</v>
      </c>
      <c r="I103">
        <v>12348</v>
      </c>
      <c r="J103">
        <v>234</v>
      </c>
      <c r="K103" s="8">
        <v>45025</v>
      </c>
      <c r="L103">
        <f>Table1[[#This Row],[unit price]]*Table1[[#This Row],[Units]]</f>
        <v>2889432</v>
      </c>
      <c r="M103" t="str">
        <f>TEXT(Table1[[#This Row],[Order date ]],"dddd")</f>
        <v>الأحد</v>
      </c>
      <c r="N103">
        <f>MONTH(Table1[[#This Row],[Order date ]])</f>
        <v>4</v>
      </c>
      <c r="O103" t="str">
        <f>TEXT(Table1[[#This Row],[Order date ]],"mmm")</f>
        <v>أبريل</v>
      </c>
      <c r="P103">
        <f>ROUNDUP(Table1[[#This Row],[month]]/3,0)</f>
        <v>2</v>
      </c>
      <c r="Q103" t="str">
        <f>"Q"&amp;ROUNDUP(Table1[[#This Row],[month]]/3,0)</f>
        <v>Q2</v>
      </c>
    </row>
    <row r="104" spans="5:17" x14ac:dyDescent="0.25">
      <c r="E104">
        <v>100</v>
      </c>
      <c r="F104" t="s">
        <v>34</v>
      </c>
      <c r="G104" t="s">
        <v>39</v>
      </c>
      <c r="H104" t="s">
        <v>21</v>
      </c>
      <c r="I104">
        <v>3689</v>
      </c>
      <c r="J104">
        <v>312</v>
      </c>
      <c r="K104" s="8">
        <v>45026</v>
      </c>
      <c r="L104">
        <f>Table1[[#This Row],[unit price]]*Table1[[#This Row],[Units]]</f>
        <v>1150968</v>
      </c>
      <c r="M104" t="str">
        <f>TEXT(Table1[[#This Row],[Order date ]],"dddd")</f>
        <v>الإثنين</v>
      </c>
      <c r="N104">
        <f>MONTH(Table1[[#This Row],[Order date ]])</f>
        <v>4</v>
      </c>
      <c r="O104" t="str">
        <f>TEXT(Table1[[#This Row],[Order date ]],"mmm")</f>
        <v>أبريل</v>
      </c>
      <c r="P104">
        <f>ROUNDUP(Table1[[#This Row],[month]]/3,0)</f>
        <v>2</v>
      </c>
      <c r="Q104" t="str">
        <f>"Q"&amp;ROUNDUP(Table1[[#This Row],[month]]/3,0)</f>
        <v>Q2</v>
      </c>
    </row>
    <row r="105" spans="5:17" x14ac:dyDescent="0.25">
      <c r="E105">
        <v>101</v>
      </c>
      <c r="F105" t="s">
        <v>31</v>
      </c>
      <c r="G105" t="s">
        <v>38</v>
      </c>
      <c r="H105" t="s">
        <v>12</v>
      </c>
      <c r="I105">
        <v>2870</v>
      </c>
      <c r="J105">
        <v>300</v>
      </c>
      <c r="K105" s="8">
        <v>45027</v>
      </c>
      <c r="L105">
        <f>Table1[[#This Row],[unit price]]*Table1[[#This Row],[Units]]</f>
        <v>861000</v>
      </c>
      <c r="M105" t="str">
        <f>TEXT(Table1[[#This Row],[Order date ]],"dddd")</f>
        <v>الثلاثاء</v>
      </c>
      <c r="N105">
        <f>MONTH(Table1[[#This Row],[Order date ]])</f>
        <v>4</v>
      </c>
      <c r="O105" t="str">
        <f>TEXT(Table1[[#This Row],[Order date ]],"mmm")</f>
        <v>أبريل</v>
      </c>
      <c r="P105">
        <f>ROUNDUP(Table1[[#This Row],[month]]/3,0)</f>
        <v>2</v>
      </c>
      <c r="Q105" t="str">
        <f>"Q"&amp;ROUNDUP(Table1[[#This Row],[month]]/3,0)</f>
        <v>Q2</v>
      </c>
    </row>
    <row r="106" spans="5:17" x14ac:dyDescent="0.25">
      <c r="E106">
        <v>102</v>
      </c>
      <c r="F106" t="s">
        <v>28</v>
      </c>
      <c r="G106" t="s">
        <v>38</v>
      </c>
      <c r="H106" t="s">
        <v>20</v>
      </c>
      <c r="I106">
        <v>798</v>
      </c>
      <c r="J106">
        <v>519</v>
      </c>
      <c r="K106" s="8">
        <v>45028</v>
      </c>
      <c r="L106">
        <f>Table1[[#This Row],[unit price]]*Table1[[#This Row],[Units]]</f>
        <v>414162</v>
      </c>
      <c r="M106" t="str">
        <f>TEXT(Table1[[#This Row],[Order date ]],"dddd")</f>
        <v>الأربعاء</v>
      </c>
      <c r="N106">
        <f>MONTH(Table1[[#This Row],[Order date ]])</f>
        <v>4</v>
      </c>
      <c r="O106" t="str">
        <f>TEXT(Table1[[#This Row],[Order date ]],"mmm")</f>
        <v>أبريل</v>
      </c>
      <c r="P106">
        <f>ROUNDUP(Table1[[#This Row],[month]]/3,0)</f>
        <v>2</v>
      </c>
      <c r="Q106" t="str">
        <f>"Q"&amp;ROUNDUP(Table1[[#This Row],[month]]/3,0)</f>
        <v>Q2</v>
      </c>
    </row>
    <row r="107" spans="5:17" x14ac:dyDescent="0.25">
      <c r="E107">
        <v>103</v>
      </c>
      <c r="F107" t="s">
        <v>30</v>
      </c>
      <c r="G107" t="s">
        <v>40</v>
      </c>
      <c r="H107" t="s">
        <v>14</v>
      </c>
      <c r="I107">
        <v>2933</v>
      </c>
      <c r="J107">
        <v>9</v>
      </c>
      <c r="K107" s="8">
        <v>45029</v>
      </c>
      <c r="L107">
        <f>Table1[[#This Row],[unit price]]*Table1[[#This Row],[Units]]</f>
        <v>26397</v>
      </c>
      <c r="M107" t="str">
        <f>TEXT(Table1[[#This Row],[Order date ]],"dddd")</f>
        <v>الخميس</v>
      </c>
      <c r="N107">
        <f>MONTH(Table1[[#This Row],[Order date ]])</f>
        <v>4</v>
      </c>
      <c r="O107" t="str">
        <f>TEXT(Table1[[#This Row],[Order date ]],"mmm")</f>
        <v>أبريل</v>
      </c>
      <c r="P107">
        <f>ROUNDUP(Table1[[#This Row],[month]]/3,0)</f>
        <v>2</v>
      </c>
      <c r="Q107" t="str">
        <f>"Q"&amp;ROUNDUP(Table1[[#This Row],[month]]/3,0)</f>
        <v>Q2</v>
      </c>
    </row>
    <row r="108" spans="5:17" x14ac:dyDescent="0.25">
      <c r="E108">
        <v>104</v>
      </c>
      <c r="F108" t="s">
        <v>33</v>
      </c>
      <c r="G108" t="s">
        <v>45</v>
      </c>
      <c r="H108" t="s">
        <v>2</v>
      </c>
      <c r="I108">
        <v>2744</v>
      </c>
      <c r="J108">
        <v>9</v>
      </c>
      <c r="K108" s="8">
        <v>45030</v>
      </c>
      <c r="L108">
        <f>Table1[[#This Row],[unit price]]*Table1[[#This Row],[Units]]</f>
        <v>24696</v>
      </c>
      <c r="M108" t="str">
        <f>TEXT(Table1[[#This Row],[Order date ]],"dddd")</f>
        <v>الجمعة</v>
      </c>
      <c r="N108">
        <f>MONTH(Table1[[#This Row],[Order date ]])</f>
        <v>4</v>
      </c>
      <c r="O108" t="str">
        <f>TEXT(Table1[[#This Row],[Order date ]],"mmm")</f>
        <v>أبريل</v>
      </c>
      <c r="P108">
        <f>ROUNDUP(Table1[[#This Row],[month]]/3,0)</f>
        <v>2</v>
      </c>
      <c r="Q108" t="str">
        <f>"Q"&amp;ROUNDUP(Table1[[#This Row],[month]]/3,0)</f>
        <v>Q2</v>
      </c>
    </row>
    <row r="109" spans="5:17" x14ac:dyDescent="0.25">
      <c r="E109">
        <v>105</v>
      </c>
      <c r="F109" t="s">
        <v>36</v>
      </c>
      <c r="G109" t="s">
        <v>38</v>
      </c>
      <c r="H109" t="s">
        <v>26</v>
      </c>
      <c r="I109">
        <v>9772</v>
      </c>
      <c r="J109">
        <v>90</v>
      </c>
      <c r="K109" s="8">
        <v>45031</v>
      </c>
      <c r="L109">
        <f>Table1[[#This Row],[unit price]]*Table1[[#This Row],[Units]]</f>
        <v>879480</v>
      </c>
      <c r="M109" t="str">
        <f>TEXT(Table1[[#This Row],[Order date ]],"dddd")</f>
        <v>السبت</v>
      </c>
      <c r="N109">
        <f>MONTH(Table1[[#This Row],[Order date ]])</f>
        <v>4</v>
      </c>
      <c r="O109" t="str">
        <f>TEXT(Table1[[#This Row],[Order date ]],"mmm")</f>
        <v>أبريل</v>
      </c>
      <c r="P109">
        <f>ROUNDUP(Table1[[#This Row],[month]]/3,0)</f>
        <v>2</v>
      </c>
      <c r="Q109" t="str">
        <f>"Q"&amp;ROUNDUP(Table1[[#This Row],[month]]/3,0)</f>
        <v>Q2</v>
      </c>
    </row>
    <row r="110" spans="5:17" x14ac:dyDescent="0.25">
      <c r="E110">
        <v>106</v>
      </c>
      <c r="F110" t="s">
        <v>31</v>
      </c>
      <c r="G110" t="s">
        <v>39</v>
      </c>
      <c r="H110" t="s">
        <v>18</v>
      </c>
      <c r="I110">
        <v>1568</v>
      </c>
      <c r="J110">
        <v>96</v>
      </c>
      <c r="K110" s="8">
        <v>45032</v>
      </c>
      <c r="L110">
        <f>Table1[[#This Row],[unit price]]*Table1[[#This Row],[Units]]</f>
        <v>150528</v>
      </c>
      <c r="M110" t="str">
        <f>TEXT(Table1[[#This Row],[Order date ]],"dddd")</f>
        <v>الأحد</v>
      </c>
      <c r="N110">
        <f>MONTH(Table1[[#This Row],[Order date ]])</f>
        <v>4</v>
      </c>
      <c r="O110" t="str">
        <f>TEXT(Table1[[#This Row],[Order date ]],"mmm")</f>
        <v>أبريل</v>
      </c>
      <c r="P110">
        <f>ROUNDUP(Table1[[#This Row],[month]]/3,0)</f>
        <v>2</v>
      </c>
      <c r="Q110" t="str">
        <f>"Q"&amp;ROUNDUP(Table1[[#This Row],[month]]/3,0)</f>
        <v>Q2</v>
      </c>
    </row>
    <row r="111" spans="5:17" x14ac:dyDescent="0.25">
      <c r="E111">
        <v>107</v>
      </c>
      <c r="F111" t="s">
        <v>28</v>
      </c>
      <c r="G111" t="s">
        <v>38</v>
      </c>
      <c r="H111" t="s">
        <v>9</v>
      </c>
      <c r="I111">
        <v>11417</v>
      </c>
      <c r="J111">
        <v>21</v>
      </c>
      <c r="K111" s="8">
        <v>45033</v>
      </c>
      <c r="L111">
        <f>Table1[[#This Row],[unit price]]*Table1[[#This Row],[Units]]</f>
        <v>239757</v>
      </c>
      <c r="M111" t="str">
        <f>TEXT(Table1[[#This Row],[Order date ]],"dddd")</f>
        <v>الإثنين</v>
      </c>
      <c r="N111">
        <f>MONTH(Table1[[#This Row],[Order date ]])</f>
        <v>4</v>
      </c>
      <c r="O111" t="str">
        <f>TEXT(Table1[[#This Row],[Order date ]],"mmm")</f>
        <v>أبريل</v>
      </c>
      <c r="P111">
        <f>ROUNDUP(Table1[[#This Row],[month]]/3,0)</f>
        <v>2</v>
      </c>
      <c r="Q111" t="str">
        <f>"Q"&amp;ROUNDUP(Table1[[#This Row],[month]]/3,0)</f>
        <v>Q2</v>
      </c>
    </row>
    <row r="112" spans="5:17" x14ac:dyDescent="0.25">
      <c r="E112">
        <v>108</v>
      </c>
      <c r="F112" t="s">
        <v>36</v>
      </c>
      <c r="G112" t="s">
        <v>39</v>
      </c>
      <c r="H112" t="s">
        <v>19</v>
      </c>
      <c r="I112">
        <v>6748</v>
      </c>
      <c r="J112">
        <v>48</v>
      </c>
      <c r="K112" s="8">
        <v>45034</v>
      </c>
      <c r="L112">
        <f>Table1[[#This Row],[unit price]]*Table1[[#This Row],[Units]]</f>
        <v>323904</v>
      </c>
      <c r="M112" t="str">
        <f>TEXT(Table1[[#This Row],[Order date ]],"dddd")</f>
        <v>الثلاثاء</v>
      </c>
      <c r="N112">
        <f>MONTH(Table1[[#This Row],[Order date ]])</f>
        <v>4</v>
      </c>
      <c r="O112" t="str">
        <f>TEXT(Table1[[#This Row],[Order date ]],"mmm")</f>
        <v>أبريل</v>
      </c>
      <c r="P112">
        <f>ROUNDUP(Table1[[#This Row],[month]]/3,0)</f>
        <v>2</v>
      </c>
      <c r="Q112" t="str">
        <f>"Q"&amp;ROUNDUP(Table1[[#This Row],[month]]/3,0)</f>
        <v>Q2</v>
      </c>
    </row>
    <row r="113" spans="5:17" x14ac:dyDescent="0.25">
      <c r="E113">
        <v>109</v>
      </c>
      <c r="F113" t="s">
        <v>35</v>
      </c>
      <c r="G113" t="s">
        <v>38</v>
      </c>
      <c r="H113" t="s">
        <v>20</v>
      </c>
      <c r="I113">
        <v>1407</v>
      </c>
      <c r="J113">
        <v>72</v>
      </c>
      <c r="K113" s="8">
        <v>45035</v>
      </c>
      <c r="L113">
        <f>Table1[[#This Row],[unit price]]*Table1[[#This Row],[Units]]</f>
        <v>101304</v>
      </c>
      <c r="M113" t="str">
        <f>TEXT(Table1[[#This Row],[Order date ]],"dddd")</f>
        <v>الأربعاء</v>
      </c>
      <c r="N113">
        <f>MONTH(Table1[[#This Row],[Order date ]])</f>
        <v>4</v>
      </c>
      <c r="O113" t="str">
        <f>TEXT(Table1[[#This Row],[Order date ]],"mmm")</f>
        <v>أبريل</v>
      </c>
      <c r="P113">
        <f>ROUNDUP(Table1[[#This Row],[month]]/3,0)</f>
        <v>2</v>
      </c>
      <c r="Q113" t="str">
        <f>"Q"&amp;ROUNDUP(Table1[[#This Row],[month]]/3,0)</f>
        <v>Q2</v>
      </c>
    </row>
    <row r="114" spans="5:17" x14ac:dyDescent="0.25">
      <c r="E114">
        <v>110</v>
      </c>
      <c r="F114" t="s">
        <v>29</v>
      </c>
      <c r="G114" t="s">
        <v>45</v>
      </c>
      <c r="H114" t="s">
        <v>22</v>
      </c>
      <c r="I114">
        <v>2023</v>
      </c>
      <c r="J114">
        <v>168</v>
      </c>
      <c r="K114" s="8">
        <v>45036</v>
      </c>
      <c r="L114">
        <f>Table1[[#This Row],[unit price]]*Table1[[#This Row],[Units]]</f>
        <v>339864</v>
      </c>
      <c r="M114" t="str">
        <f>TEXT(Table1[[#This Row],[Order date ]],"dddd")</f>
        <v>الخميس</v>
      </c>
      <c r="N114">
        <f>MONTH(Table1[[#This Row],[Order date ]])</f>
        <v>4</v>
      </c>
      <c r="O114" t="str">
        <f>TEXT(Table1[[#This Row],[Order date ]],"mmm")</f>
        <v>أبريل</v>
      </c>
      <c r="P114">
        <f>ROUNDUP(Table1[[#This Row],[month]]/3,0)</f>
        <v>2</v>
      </c>
      <c r="Q114" t="str">
        <f>"Q"&amp;ROUNDUP(Table1[[#This Row],[month]]/3,0)</f>
        <v>Q2</v>
      </c>
    </row>
    <row r="115" spans="5:17" x14ac:dyDescent="0.25">
      <c r="E115">
        <v>111</v>
      </c>
      <c r="F115" t="s">
        <v>33</v>
      </c>
      <c r="G115" t="s">
        <v>43</v>
      </c>
      <c r="H115" t="s">
        <v>19</v>
      </c>
      <c r="I115">
        <v>5236</v>
      </c>
      <c r="J115">
        <v>51</v>
      </c>
      <c r="K115" s="8">
        <v>45037</v>
      </c>
      <c r="L115">
        <f>Table1[[#This Row],[unit price]]*Table1[[#This Row],[Units]]</f>
        <v>267036</v>
      </c>
      <c r="M115" t="str">
        <f>TEXT(Table1[[#This Row],[Order date ]],"dddd")</f>
        <v>الجمعة</v>
      </c>
      <c r="N115">
        <f>MONTH(Table1[[#This Row],[Order date ]])</f>
        <v>4</v>
      </c>
      <c r="O115" t="str">
        <f>TEXT(Table1[[#This Row],[Order date ]],"mmm")</f>
        <v>أبريل</v>
      </c>
      <c r="P115">
        <f>ROUNDUP(Table1[[#This Row],[month]]/3,0)</f>
        <v>2</v>
      </c>
      <c r="Q115" t="str">
        <f>"Q"&amp;ROUNDUP(Table1[[#This Row],[month]]/3,0)</f>
        <v>Q2</v>
      </c>
    </row>
    <row r="116" spans="5:17" x14ac:dyDescent="0.25">
      <c r="E116">
        <v>112</v>
      </c>
      <c r="F116" t="s">
        <v>30</v>
      </c>
      <c r="G116" t="s">
        <v>38</v>
      </c>
      <c r="H116" t="s">
        <v>12</v>
      </c>
      <c r="I116">
        <v>1925</v>
      </c>
      <c r="J116">
        <v>192</v>
      </c>
      <c r="K116" s="8">
        <v>45038</v>
      </c>
      <c r="L116">
        <f>Table1[[#This Row],[unit price]]*Table1[[#This Row],[Units]]</f>
        <v>369600</v>
      </c>
      <c r="M116" t="str">
        <f>TEXT(Table1[[#This Row],[Order date ]],"dddd")</f>
        <v>السبت</v>
      </c>
      <c r="N116">
        <f>MONTH(Table1[[#This Row],[Order date ]])</f>
        <v>4</v>
      </c>
      <c r="O116" t="str">
        <f>TEXT(Table1[[#This Row],[Order date ]],"mmm")</f>
        <v>أبريل</v>
      </c>
      <c r="P116">
        <f>ROUNDUP(Table1[[#This Row],[month]]/3,0)</f>
        <v>2</v>
      </c>
      <c r="Q116" t="str">
        <f>"Q"&amp;ROUNDUP(Table1[[#This Row],[month]]/3,0)</f>
        <v>Q2</v>
      </c>
    </row>
    <row r="117" spans="5:17" x14ac:dyDescent="0.25">
      <c r="E117">
        <v>113</v>
      </c>
      <c r="F117" t="s">
        <v>31</v>
      </c>
      <c r="G117" t="s">
        <v>40</v>
      </c>
      <c r="H117" t="s">
        <v>7</v>
      </c>
      <c r="I117">
        <v>6608</v>
      </c>
      <c r="J117">
        <v>225</v>
      </c>
      <c r="K117" s="8">
        <v>45039</v>
      </c>
      <c r="L117">
        <f>Table1[[#This Row],[unit price]]*Table1[[#This Row],[Units]]</f>
        <v>1486800</v>
      </c>
      <c r="M117" t="str">
        <f>TEXT(Table1[[#This Row],[Order date ]],"dddd")</f>
        <v>الأحد</v>
      </c>
      <c r="N117">
        <f>MONTH(Table1[[#This Row],[Order date ]])</f>
        <v>4</v>
      </c>
      <c r="O117" t="str">
        <f>TEXT(Table1[[#This Row],[Order date ]],"mmm")</f>
        <v>أبريل</v>
      </c>
      <c r="P117">
        <f>ROUNDUP(Table1[[#This Row],[month]]/3,0)</f>
        <v>2</v>
      </c>
      <c r="Q117" t="str">
        <f>"Q"&amp;ROUNDUP(Table1[[#This Row],[month]]/3,0)</f>
        <v>Q2</v>
      </c>
    </row>
    <row r="118" spans="5:17" x14ac:dyDescent="0.25">
      <c r="E118">
        <v>114</v>
      </c>
      <c r="F118" t="s">
        <v>32</v>
      </c>
      <c r="G118" t="s">
        <v>39</v>
      </c>
      <c r="H118" t="s">
        <v>19</v>
      </c>
      <c r="I118">
        <v>8008</v>
      </c>
      <c r="J118">
        <v>456</v>
      </c>
      <c r="K118" s="8">
        <v>45040</v>
      </c>
      <c r="L118">
        <f>Table1[[#This Row],[unit price]]*Table1[[#This Row],[Units]]</f>
        <v>3651648</v>
      </c>
      <c r="M118" t="str">
        <f>TEXT(Table1[[#This Row],[Order date ]],"dddd")</f>
        <v>الإثنين</v>
      </c>
      <c r="N118">
        <f>MONTH(Table1[[#This Row],[Order date ]])</f>
        <v>4</v>
      </c>
      <c r="O118" t="str">
        <f>TEXT(Table1[[#This Row],[Order date ]],"mmm")</f>
        <v>أبريل</v>
      </c>
      <c r="P118">
        <f>ROUNDUP(Table1[[#This Row],[month]]/3,0)</f>
        <v>2</v>
      </c>
      <c r="Q118" t="str">
        <f>"Q"&amp;ROUNDUP(Table1[[#This Row],[month]]/3,0)</f>
        <v>Q2</v>
      </c>
    </row>
    <row r="119" spans="5:17" x14ac:dyDescent="0.25">
      <c r="E119">
        <v>115</v>
      </c>
      <c r="F119" t="s">
        <v>35</v>
      </c>
      <c r="G119" t="s">
        <v>39</v>
      </c>
      <c r="H119" t="s">
        <v>18</v>
      </c>
      <c r="I119">
        <v>1428</v>
      </c>
      <c r="J119">
        <v>93</v>
      </c>
      <c r="K119" s="8">
        <v>45041</v>
      </c>
      <c r="L119">
        <f>Table1[[#This Row],[unit price]]*Table1[[#This Row],[Units]]</f>
        <v>132804</v>
      </c>
      <c r="M119" t="str">
        <f>TEXT(Table1[[#This Row],[Order date ]],"dddd")</f>
        <v>الثلاثاء</v>
      </c>
      <c r="N119">
        <f>MONTH(Table1[[#This Row],[Order date ]])</f>
        <v>4</v>
      </c>
      <c r="O119" t="str">
        <f>TEXT(Table1[[#This Row],[Order date ]],"mmm")</f>
        <v>أبريل</v>
      </c>
      <c r="P119">
        <f>ROUNDUP(Table1[[#This Row],[month]]/3,0)</f>
        <v>2</v>
      </c>
      <c r="Q119" t="str">
        <f>"Q"&amp;ROUNDUP(Table1[[#This Row],[month]]/3,0)</f>
        <v>Q2</v>
      </c>
    </row>
    <row r="120" spans="5:17" x14ac:dyDescent="0.25">
      <c r="E120">
        <v>116</v>
      </c>
      <c r="F120" t="s">
        <v>32</v>
      </c>
      <c r="G120" t="s">
        <v>39</v>
      </c>
      <c r="H120" t="s">
        <v>2</v>
      </c>
      <c r="I120">
        <v>525</v>
      </c>
      <c r="J120">
        <v>48</v>
      </c>
      <c r="K120" s="8">
        <v>45042</v>
      </c>
      <c r="L120">
        <f>Table1[[#This Row],[unit price]]*Table1[[#This Row],[Units]]</f>
        <v>25200</v>
      </c>
      <c r="M120" t="str">
        <f>TEXT(Table1[[#This Row],[Order date ]],"dddd")</f>
        <v>الأربعاء</v>
      </c>
      <c r="N120">
        <f>MONTH(Table1[[#This Row],[Order date ]])</f>
        <v>4</v>
      </c>
      <c r="O120" t="str">
        <f>TEXT(Table1[[#This Row],[Order date ]],"mmm")</f>
        <v>أبريل</v>
      </c>
      <c r="P120">
        <f>ROUNDUP(Table1[[#This Row],[month]]/3,0)</f>
        <v>2</v>
      </c>
      <c r="Q120" t="str">
        <f>"Q"&amp;ROUNDUP(Table1[[#This Row],[month]]/3,0)</f>
        <v>Q2</v>
      </c>
    </row>
    <row r="121" spans="5:17" x14ac:dyDescent="0.25">
      <c r="E121">
        <v>117</v>
      </c>
      <c r="F121" t="s">
        <v>32</v>
      </c>
      <c r="G121" t="s">
        <v>40</v>
      </c>
      <c r="H121" t="s">
        <v>11</v>
      </c>
      <c r="I121">
        <v>1505</v>
      </c>
      <c r="J121">
        <v>102</v>
      </c>
      <c r="K121" s="8">
        <v>45043</v>
      </c>
      <c r="L121">
        <f>Table1[[#This Row],[unit price]]*Table1[[#This Row],[Units]]</f>
        <v>153510</v>
      </c>
      <c r="M121" t="str">
        <f>TEXT(Table1[[#This Row],[Order date ]],"dddd")</f>
        <v>الخميس</v>
      </c>
      <c r="N121">
        <f>MONTH(Table1[[#This Row],[Order date ]])</f>
        <v>4</v>
      </c>
      <c r="O121" t="str">
        <f>TEXT(Table1[[#This Row],[Order date ]],"mmm")</f>
        <v>أبريل</v>
      </c>
      <c r="P121">
        <f>ROUNDUP(Table1[[#This Row],[month]]/3,0)</f>
        <v>2</v>
      </c>
      <c r="Q121" t="str">
        <f>"Q"&amp;ROUNDUP(Table1[[#This Row],[month]]/3,0)</f>
        <v>Q2</v>
      </c>
    </row>
    <row r="122" spans="5:17" x14ac:dyDescent="0.25">
      <c r="E122">
        <v>118</v>
      </c>
      <c r="F122" t="s">
        <v>31</v>
      </c>
      <c r="G122" t="s">
        <v>45</v>
      </c>
      <c r="H122" t="s">
        <v>23</v>
      </c>
      <c r="I122">
        <v>6755</v>
      </c>
      <c r="J122">
        <v>252</v>
      </c>
      <c r="K122" s="8">
        <v>45044</v>
      </c>
      <c r="L122">
        <f>Table1[[#This Row],[unit price]]*Table1[[#This Row],[Units]]</f>
        <v>1702260</v>
      </c>
      <c r="M122" t="str">
        <f>TEXT(Table1[[#This Row],[Order date ]],"dddd")</f>
        <v>الجمعة</v>
      </c>
      <c r="N122">
        <f>MONTH(Table1[[#This Row],[Order date ]])</f>
        <v>4</v>
      </c>
      <c r="O122" t="str">
        <f>TEXT(Table1[[#This Row],[Order date ]],"mmm")</f>
        <v>أبريل</v>
      </c>
      <c r="P122">
        <f>ROUNDUP(Table1[[#This Row],[month]]/3,0)</f>
        <v>2</v>
      </c>
      <c r="Q122" t="str">
        <f>"Q"&amp;ROUNDUP(Table1[[#This Row],[month]]/3,0)</f>
        <v>Q2</v>
      </c>
    </row>
    <row r="123" spans="5:17" x14ac:dyDescent="0.25">
      <c r="E123">
        <v>119</v>
      </c>
      <c r="F123" t="s">
        <v>28</v>
      </c>
      <c r="G123" t="s">
        <v>40</v>
      </c>
      <c r="H123" t="s">
        <v>11</v>
      </c>
      <c r="I123">
        <v>11571</v>
      </c>
      <c r="J123">
        <v>138</v>
      </c>
      <c r="K123" s="8">
        <v>45045</v>
      </c>
      <c r="L123">
        <f>Table1[[#This Row],[unit price]]*Table1[[#This Row],[Units]]</f>
        <v>1596798</v>
      </c>
      <c r="M123" t="str">
        <f>TEXT(Table1[[#This Row],[Order date ]],"dddd")</f>
        <v>السبت</v>
      </c>
      <c r="N123">
        <f>MONTH(Table1[[#This Row],[Order date ]])</f>
        <v>4</v>
      </c>
      <c r="O123" t="str">
        <f>TEXT(Table1[[#This Row],[Order date ]],"mmm")</f>
        <v>أبريل</v>
      </c>
      <c r="P123">
        <f>ROUNDUP(Table1[[#This Row],[month]]/3,0)</f>
        <v>2</v>
      </c>
      <c r="Q123" t="str">
        <f>"Q"&amp;ROUNDUP(Table1[[#This Row],[month]]/3,0)</f>
        <v>Q2</v>
      </c>
    </row>
    <row r="124" spans="5:17" x14ac:dyDescent="0.25">
      <c r="E124">
        <v>120</v>
      </c>
      <c r="F124" t="s">
        <v>36</v>
      </c>
      <c r="G124" t="s">
        <v>37</v>
      </c>
      <c r="H124" t="s">
        <v>18</v>
      </c>
      <c r="I124">
        <v>2541</v>
      </c>
      <c r="J124">
        <v>90</v>
      </c>
      <c r="K124" s="8">
        <v>45046</v>
      </c>
      <c r="L124">
        <f>Table1[[#This Row],[unit price]]*Table1[[#This Row],[Units]]</f>
        <v>228690</v>
      </c>
      <c r="M124" t="str">
        <f>TEXT(Table1[[#This Row],[Order date ]],"dddd")</f>
        <v>الأحد</v>
      </c>
      <c r="N124">
        <f>MONTH(Table1[[#This Row],[Order date ]])</f>
        <v>4</v>
      </c>
      <c r="O124" t="str">
        <f>TEXT(Table1[[#This Row],[Order date ]],"mmm")</f>
        <v>أبريل</v>
      </c>
      <c r="P124">
        <f>ROUNDUP(Table1[[#This Row],[month]]/3,0)</f>
        <v>2</v>
      </c>
      <c r="Q124" t="str">
        <f>"Q"&amp;ROUNDUP(Table1[[#This Row],[month]]/3,0)</f>
        <v>Q2</v>
      </c>
    </row>
    <row r="125" spans="5:17" x14ac:dyDescent="0.25">
      <c r="E125">
        <v>121</v>
      </c>
      <c r="F125" t="s">
        <v>30</v>
      </c>
      <c r="G125" t="s">
        <v>40</v>
      </c>
      <c r="H125" t="s">
        <v>23</v>
      </c>
      <c r="I125">
        <v>1526</v>
      </c>
      <c r="J125">
        <v>240</v>
      </c>
      <c r="K125" s="8">
        <v>45047</v>
      </c>
      <c r="L125">
        <f>Table1[[#This Row],[unit price]]*Table1[[#This Row],[Units]]</f>
        <v>366240</v>
      </c>
      <c r="M125" t="str">
        <f>TEXT(Table1[[#This Row],[Order date ]],"dddd")</f>
        <v>الإثنين</v>
      </c>
      <c r="N125">
        <f>MONTH(Table1[[#This Row],[Order date ]])</f>
        <v>5</v>
      </c>
      <c r="O125" t="str">
        <f>TEXT(Table1[[#This Row],[Order date ]],"mmm")</f>
        <v>مايو</v>
      </c>
      <c r="P125">
        <f>ROUNDUP(Table1[[#This Row],[month]]/3,0)</f>
        <v>2</v>
      </c>
      <c r="Q125" t="str">
        <f>"Q"&amp;ROUNDUP(Table1[[#This Row],[month]]/3,0)</f>
        <v>Q2</v>
      </c>
    </row>
    <row r="126" spans="5:17" x14ac:dyDescent="0.25">
      <c r="E126">
        <v>122</v>
      </c>
      <c r="F126" t="s">
        <v>36</v>
      </c>
      <c r="G126" t="s">
        <v>37</v>
      </c>
      <c r="H126" t="s">
        <v>2</v>
      </c>
      <c r="I126">
        <v>6125</v>
      </c>
      <c r="J126">
        <v>102</v>
      </c>
      <c r="K126" s="8">
        <v>45048</v>
      </c>
      <c r="L126">
        <f>Table1[[#This Row],[unit price]]*Table1[[#This Row],[Units]]</f>
        <v>624750</v>
      </c>
      <c r="M126" t="str">
        <f>TEXT(Table1[[#This Row],[Order date ]],"dddd")</f>
        <v>الثلاثاء</v>
      </c>
      <c r="N126">
        <f>MONTH(Table1[[#This Row],[Order date ]])</f>
        <v>5</v>
      </c>
      <c r="O126" t="str">
        <f>TEXT(Table1[[#This Row],[Order date ]],"mmm")</f>
        <v>مايو</v>
      </c>
      <c r="P126">
        <f>ROUNDUP(Table1[[#This Row],[month]]/3,0)</f>
        <v>2</v>
      </c>
      <c r="Q126" t="str">
        <f>"Q"&amp;ROUNDUP(Table1[[#This Row],[month]]/3,0)</f>
        <v>Q2</v>
      </c>
    </row>
    <row r="127" spans="5:17" x14ac:dyDescent="0.25">
      <c r="E127">
        <v>123</v>
      </c>
      <c r="F127" t="s">
        <v>30</v>
      </c>
      <c r="G127" t="s">
        <v>45</v>
      </c>
      <c r="H127" t="s">
        <v>20</v>
      </c>
      <c r="I127">
        <v>847</v>
      </c>
      <c r="J127">
        <v>129</v>
      </c>
      <c r="K127" s="8">
        <v>45049</v>
      </c>
      <c r="L127">
        <f>Table1[[#This Row],[unit price]]*Table1[[#This Row],[Units]]</f>
        <v>109263</v>
      </c>
      <c r="M127" t="str">
        <f>TEXT(Table1[[#This Row],[Order date ]],"dddd")</f>
        <v>الأربعاء</v>
      </c>
      <c r="N127">
        <f>MONTH(Table1[[#This Row],[Order date ]])</f>
        <v>5</v>
      </c>
      <c r="O127" t="str">
        <f>TEXT(Table1[[#This Row],[Order date ]],"mmm")</f>
        <v>مايو</v>
      </c>
      <c r="P127">
        <f>ROUNDUP(Table1[[#This Row],[month]]/3,0)</f>
        <v>2</v>
      </c>
      <c r="Q127" t="str">
        <f>"Q"&amp;ROUNDUP(Table1[[#This Row],[month]]/3,0)</f>
        <v>Q2</v>
      </c>
    </row>
    <row r="128" spans="5:17" x14ac:dyDescent="0.25">
      <c r="E128">
        <v>124</v>
      </c>
      <c r="F128" t="s">
        <v>29</v>
      </c>
      <c r="G128" t="s">
        <v>45</v>
      </c>
      <c r="H128" t="s">
        <v>20</v>
      </c>
      <c r="I128">
        <v>4753</v>
      </c>
      <c r="J128">
        <v>300</v>
      </c>
      <c r="K128" s="8">
        <v>45050</v>
      </c>
      <c r="L128">
        <f>Table1[[#This Row],[unit price]]*Table1[[#This Row],[Units]]</f>
        <v>1425900</v>
      </c>
      <c r="M128" t="str">
        <f>TEXT(Table1[[#This Row],[Order date ]],"dddd")</f>
        <v>الخميس</v>
      </c>
      <c r="N128">
        <f>MONTH(Table1[[#This Row],[Order date ]])</f>
        <v>5</v>
      </c>
      <c r="O128" t="str">
        <f>TEXT(Table1[[#This Row],[Order date ]],"mmm")</f>
        <v>مايو</v>
      </c>
      <c r="P128">
        <f>ROUNDUP(Table1[[#This Row],[month]]/3,0)</f>
        <v>2</v>
      </c>
      <c r="Q128" t="str">
        <f>"Q"&amp;ROUNDUP(Table1[[#This Row],[month]]/3,0)</f>
        <v>Q2</v>
      </c>
    </row>
    <row r="129" spans="5:17" x14ac:dyDescent="0.25">
      <c r="E129">
        <v>125</v>
      </c>
      <c r="F129" t="s">
        <v>32</v>
      </c>
      <c r="G129" t="s">
        <v>37</v>
      </c>
      <c r="H129" t="s">
        <v>26</v>
      </c>
      <c r="I129">
        <v>959</v>
      </c>
      <c r="J129">
        <v>135</v>
      </c>
      <c r="K129" s="8">
        <v>45051</v>
      </c>
      <c r="L129">
        <f>Table1[[#This Row],[unit price]]*Table1[[#This Row],[Units]]</f>
        <v>129465</v>
      </c>
      <c r="M129" t="str">
        <f>TEXT(Table1[[#This Row],[Order date ]],"dddd")</f>
        <v>الجمعة</v>
      </c>
      <c r="N129">
        <f>MONTH(Table1[[#This Row],[Order date ]])</f>
        <v>5</v>
      </c>
      <c r="O129" t="str">
        <f>TEXT(Table1[[#This Row],[Order date ]],"mmm")</f>
        <v>مايو</v>
      </c>
      <c r="P129">
        <f>ROUNDUP(Table1[[#This Row],[month]]/3,0)</f>
        <v>2</v>
      </c>
      <c r="Q129" t="str">
        <f>"Q"&amp;ROUNDUP(Table1[[#This Row],[month]]/3,0)</f>
        <v>Q2</v>
      </c>
    </row>
    <row r="130" spans="5:17" x14ac:dyDescent="0.25">
      <c r="E130">
        <v>126</v>
      </c>
      <c r="F130" t="s">
        <v>31</v>
      </c>
      <c r="G130" t="s">
        <v>45</v>
      </c>
      <c r="H130" t="s">
        <v>17</v>
      </c>
      <c r="I130">
        <v>2793</v>
      </c>
      <c r="J130">
        <v>114</v>
      </c>
      <c r="K130" s="8">
        <v>45052</v>
      </c>
      <c r="L130">
        <f>Table1[[#This Row],[unit price]]*Table1[[#This Row],[Units]]</f>
        <v>318402</v>
      </c>
      <c r="M130" t="str">
        <f>TEXT(Table1[[#This Row],[Order date ]],"dddd")</f>
        <v>السبت</v>
      </c>
      <c r="N130">
        <f>MONTH(Table1[[#This Row],[Order date ]])</f>
        <v>5</v>
      </c>
      <c r="O130" t="str">
        <f>TEXT(Table1[[#This Row],[Order date ]],"mmm")</f>
        <v>مايو</v>
      </c>
      <c r="P130">
        <f>ROUNDUP(Table1[[#This Row],[month]]/3,0)</f>
        <v>2</v>
      </c>
      <c r="Q130" t="str">
        <f>"Q"&amp;ROUNDUP(Table1[[#This Row],[month]]/3,0)</f>
        <v>Q2</v>
      </c>
    </row>
    <row r="131" spans="5:17" x14ac:dyDescent="0.25">
      <c r="E131">
        <v>127</v>
      </c>
      <c r="F131" t="s">
        <v>31</v>
      </c>
      <c r="G131" t="s">
        <v>45</v>
      </c>
      <c r="H131" t="s">
        <v>7</v>
      </c>
      <c r="I131">
        <v>4606</v>
      </c>
      <c r="J131">
        <v>63</v>
      </c>
      <c r="K131" s="8">
        <v>45053</v>
      </c>
      <c r="L131">
        <f>Table1[[#This Row],[unit price]]*Table1[[#This Row],[Units]]</f>
        <v>290178</v>
      </c>
      <c r="M131" t="str">
        <f>TEXT(Table1[[#This Row],[Order date ]],"dddd")</f>
        <v>الأحد</v>
      </c>
      <c r="N131">
        <f>MONTH(Table1[[#This Row],[Order date ]])</f>
        <v>5</v>
      </c>
      <c r="O131" t="str">
        <f>TEXT(Table1[[#This Row],[Order date ]],"mmm")</f>
        <v>مايو</v>
      </c>
      <c r="P131">
        <f>ROUNDUP(Table1[[#This Row],[month]]/3,0)</f>
        <v>2</v>
      </c>
      <c r="Q131" t="str">
        <f>"Q"&amp;ROUNDUP(Table1[[#This Row],[month]]/3,0)</f>
        <v>Q2</v>
      </c>
    </row>
    <row r="132" spans="5:17" x14ac:dyDescent="0.25">
      <c r="E132">
        <v>128</v>
      </c>
      <c r="F132" t="s">
        <v>31</v>
      </c>
      <c r="G132" t="s">
        <v>38</v>
      </c>
      <c r="H132" t="s">
        <v>22</v>
      </c>
      <c r="I132">
        <v>5551</v>
      </c>
      <c r="J132">
        <v>252</v>
      </c>
      <c r="K132" s="8">
        <v>45054</v>
      </c>
      <c r="L132">
        <f>Table1[[#This Row],[unit price]]*Table1[[#This Row],[Units]]</f>
        <v>1398852</v>
      </c>
      <c r="M132" t="str">
        <f>TEXT(Table1[[#This Row],[Order date ]],"dddd")</f>
        <v>الإثنين</v>
      </c>
      <c r="N132">
        <f>MONTH(Table1[[#This Row],[Order date ]])</f>
        <v>5</v>
      </c>
      <c r="O132" t="str">
        <f>TEXT(Table1[[#This Row],[Order date ]],"mmm")</f>
        <v>مايو</v>
      </c>
      <c r="P132">
        <f>ROUNDUP(Table1[[#This Row],[month]]/3,0)</f>
        <v>2</v>
      </c>
      <c r="Q132" t="str">
        <f>"Q"&amp;ROUNDUP(Table1[[#This Row],[month]]/3,0)</f>
        <v>Q2</v>
      </c>
    </row>
    <row r="133" spans="5:17" x14ac:dyDescent="0.25">
      <c r="E133">
        <v>129</v>
      </c>
      <c r="F133" t="s">
        <v>35</v>
      </c>
      <c r="G133" t="s">
        <v>38</v>
      </c>
      <c r="H133" t="s">
        <v>25</v>
      </c>
      <c r="I133">
        <v>6657</v>
      </c>
      <c r="J133">
        <v>303</v>
      </c>
      <c r="K133" s="8">
        <v>45055</v>
      </c>
      <c r="L133">
        <f>Table1[[#This Row],[unit price]]*Table1[[#This Row],[Units]]</f>
        <v>2017071</v>
      </c>
      <c r="M133" t="str">
        <f>TEXT(Table1[[#This Row],[Order date ]],"dddd")</f>
        <v>الثلاثاء</v>
      </c>
      <c r="N133">
        <f>MONTH(Table1[[#This Row],[Order date ]])</f>
        <v>5</v>
      </c>
      <c r="O133" t="str">
        <f>TEXT(Table1[[#This Row],[Order date ]],"mmm")</f>
        <v>مايو</v>
      </c>
      <c r="P133">
        <f>ROUNDUP(Table1[[#This Row],[month]]/3,0)</f>
        <v>2</v>
      </c>
      <c r="Q133" t="str">
        <f>"Q"&amp;ROUNDUP(Table1[[#This Row],[month]]/3,0)</f>
        <v>Q2</v>
      </c>
    </row>
    <row r="134" spans="5:17" x14ac:dyDescent="0.25">
      <c r="E134">
        <v>130</v>
      </c>
      <c r="F134" t="s">
        <v>31</v>
      </c>
      <c r="G134" t="s">
        <v>43</v>
      </c>
      <c r="H134" t="s">
        <v>10</v>
      </c>
      <c r="I134">
        <v>4438</v>
      </c>
      <c r="J134">
        <v>246</v>
      </c>
      <c r="K134" s="8">
        <v>45056</v>
      </c>
      <c r="L134">
        <f>Table1[[#This Row],[unit price]]*Table1[[#This Row],[Units]]</f>
        <v>1091748</v>
      </c>
      <c r="M134" t="str">
        <f>TEXT(Table1[[#This Row],[Order date ]],"dddd")</f>
        <v>الأربعاء</v>
      </c>
      <c r="N134">
        <f>MONTH(Table1[[#This Row],[Order date ]])</f>
        <v>5</v>
      </c>
      <c r="O134" t="str">
        <f>TEXT(Table1[[#This Row],[Order date ]],"mmm")</f>
        <v>مايو</v>
      </c>
      <c r="P134">
        <f>ROUNDUP(Table1[[#This Row],[month]]/3,0)</f>
        <v>2</v>
      </c>
      <c r="Q134" t="str">
        <f>"Q"&amp;ROUNDUP(Table1[[#This Row],[month]]/3,0)</f>
        <v>Q2</v>
      </c>
    </row>
    <row r="135" spans="5:17" x14ac:dyDescent="0.25">
      <c r="E135">
        <v>131</v>
      </c>
      <c r="F135" t="s">
        <v>29</v>
      </c>
      <c r="G135" t="s">
        <v>37</v>
      </c>
      <c r="H135" t="s">
        <v>15</v>
      </c>
      <c r="I135">
        <v>168</v>
      </c>
      <c r="J135">
        <v>84</v>
      </c>
      <c r="K135" s="8">
        <v>45057</v>
      </c>
      <c r="L135">
        <f>Table1[[#This Row],[unit price]]*Table1[[#This Row],[Units]]</f>
        <v>14112</v>
      </c>
      <c r="M135" t="str">
        <f>TEXT(Table1[[#This Row],[Order date ]],"dddd")</f>
        <v>الخميس</v>
      </c>
      <c r="N135">
        <f>MONTH(Table1[[#This Row],[Order date ]])</f>
        <v>5</v>
      </c>
      <c r="O135" t="str">
        <f>TEXT(Table1[[#This Row],[Order date ]],"mmm")</f>
        <v>مايو</v>
      </c>
      <c r="P135">
        <f>ROUNDUP(Table1[[#This Row],[month]]/3,0)</f>
        <v>2</v>
      </c>
      <c r="Q135" t="str">
        <f>"Q"&amp;ROUNDUP(Table1[[#This Row],[month]]/3,0)</f>
        <v>Q2</v>
      </c>
    </row>
    <row r="136" spans="5:17" x14ac:dyDescent="0.25">
      <c r="E136">
        <v>132</v>
      </c>
      <c r="F136" t="s">
        <v>31</v>
      </c>
      <c r="G136" t="s">
        <v>39</v>
      </c>
      <c r="H136" t="s">
        <v>10</v>
      </c>
      <c r="I136">
        <v>7777</v>
      </c>
      <c r="J136">
        <v>39</v>
      </c>
      <c r="K136" s="8">
        <v>45058</v>
      </c>
      <c r="L136">
        <f>Table1[[#This Row],[unit price]]*Table1[[#This Row],[Units]]</f>
        <v>303303</v>
      </c>
      <c r="M136" t="str">
        <f>TEXT(Table1[[#This Row],[Order date ]],"dddd")</f>
        <v>الجمعة</v>
      </c>
      <c r="N136">
        <f>MONTH(Table1[[#This Row],[Order date ]])</f>
        <v>5</v>
      </c>
      <c r="O136" t="str">
        <f>TEXT(Table1[[#This Row],[Order date ]],"mmm")</f>
        <v>مايو</v>
      </c>
      <c r="P136">
        <f>ROUNDUP(Table1[[#This Row],[month]]/3,0)</f>
        <v>2</v>
      </c>
      <c r="Q136" t="str">
        <f>"Q"&amp;ROUNDUP(Table1[[#This Row],[month]]/3,0)</f>
        <v>Q2</v>
      </c>
    </row>
    <row r="137" spans="5:17" x14ac:dyDescent="0.25">
      <c r="E137">
        <v>133</v>
      </c>
      <c r="F137" t="s">
        <v>33</v>
      </c>
      <c r="G137" t="s">
        <v>38</v>
      </c>
      <c r="H137" t="s">
        <v>10</v>
      </c>
      <c r="I137">
        <v>3339</v>
      </c>
      <c r="J137">
        <v>348</v>
      </c>
      <c r="K137" s="8">
        <v>45059</v>
      </c>
      <c r="L137">
        <f>Table1[[#This Row],[unit price]]*Table1[[#This Row],[Units]]</f>
        <v>1161972</v>
      </c>
      <c r="M137" t="str">
        <f>TEXT(Table1[[#This Row],[Order date ]],"dddd")</f>
        <v>السبت</v>
      </c>
      <c r="N137">
        <f>MONTH(Table1[[#This Row],[Order date ]])</f>
        <v>5</v>
      </c>
      <c r="O137" t="str">
        <f>TEXT(Table1[[#This Row],[Order date ]],"mmm")</f>
        <v>مايو</v>
      </c>
      <c r="P137">
        <f>ROUNDUP(Table1[[#This Row],[month]]/3,0)</f>
        <v>2</v>
      </c>
      <c r="Q137" t="str">
        <f>"Q"&amp;ROUNDUP(Table1[[#This Row],[month]]/3,0)</f>
        <v>Q2</v>
      </c>
    </row>
    <row r="138" spans="5:17" x14ac:dyDescent="0.25">
      <c r="E138">
        <v>134</v>
      </c>
      <c r="F138" t="s">
        <v>31</v>
      </c>
      <c r="G138" t="s">
        <v>40</v>
      </c>
      <c r="H138" t="s">
        <v>26</v>
      </c>
      <c r="I138">
        <v>6391</v>
      </c>
      <c r="J138">
        <v>48</v>
      </c>
      <c r="K138" s="8">
        <v>45060</v>
      </c>
      <c r="L138">
        <f>Table1[[#This Row],[unit price]]*Table1[[#This Row],[Units]]</f>
        <v>306768</v>
      </c>
      <c r="M138" t="str">
        <f>TEXT(Table1[[#This Row],[Order date ]],"dddd")</f>
        <v>الأحد</v>
      </c>
      <c r="N138">
        <f>MONTH(Table1[[#This Row],[Order date ]])</f>
        <v>5</v>
      </c>
      <c r="O138" t="str">
        <f>TEXT(Table1[[#This Row],[Order date ]],"mmm")</f>
        <v>مايو</v>
      </c>
      <c r="P138">
        <f>ROUNDUP(Table1[[#This Row],[month]]/3,0)</f>
        <v>2</v>
      </c>
      <c r="Q138" t="str">
        <f>"Q"&amp;ROUNDUP(Table1[[#This Row],[month]]/3,0)</f>
        <v>Q2</v>
      </c>
    </row>
    <row r="139" spans="5:17" x14ac:dyDescent="0.25">
      <c r="E139">
        <v>135</v>
      </c>
      <c r="F139" t="s">
        <v>33</v>
      </c>
      <c r="G139" t="s">
        <v>40</v>
      </c>
      <c r="H139" t="s">
        <v>15</v>
      </c>
      <c r="I139">
        <v>518</v>
      </c>
      <c r="J139">
        <v>75</v>
      </c>
      <c r="K139" s="8">
        <v>45061</v>
      </c>
      <c r="L139">
        <f>Table1[[#This Row],[unit price]]*Table1[[#This Row],[Units]]</f>
        <v>38850</v>
      </c>
      <c r="M139" t="str">
        <f>TEXT(Table1[[#This Row],[Order date ]],"dddd")</f>
        <v>الإثنين</v>
      </c>
      <c r="N139">
        <f>MONTH(Table1[[#This Row],[Order date ]])</f>
        <v>5</v>
      </c>
      <c r="O139" t="str">
        <f>TEXT(Table1[[#This Row],[Order date ]],"mmm")</f>
        <v>مايو</v>
      </c>
      <c r="P139">
        <f>ROUNDUP(Table1[[#This Row],[month]]/3,0)</f>
        <v>2</v>
      </c>
      <c r="Q139" t="str">
        <f>"Q"&amp;ROUNDUP(Table1[[#This Row],[month]]/3,0)</f>
        <v>Q2</v>
      </c>
    </row>
    <row r="140" spans="5:17" x14ac:dyDescent="0.25">
      <c r="E140">
        <v>136</v>
      </c>
      <c r="F140" t="s">
        <v>31</v>
      </c>
      <c r="G140" t="s">
        <v>37</v>
      </c>
      <c r="H140" t="s">
        <v>21</v>
      </c>
      <c r="I140">
        <v>5677</v>
      </c>
      <c r="J140">
        <v>258</v>
      </c>
      <c r="K140" s="8">
        <v>45062</v>
      </c>
      <c r="L140">
        <f>Table1[[#This Row],[unit price]]*Table1[[#This Row],[Units]]</f>
        <v>1464666</v>
      </c>
      <c r="M140" t="str">
        <f>TEXT(Table1[[#This Row],[Order date ]],"dddd")</f>
        <v>الثلاثاء</v>
      </c>
      <c r="N140">
        <f>MONTH(Table1[[#This Row],[Order date ]])</f>
        <v>5</v>
      </c>
      <c r="O140" t="str">
        <f>TEXT(Table1[[#This Row],[Order date ]],"mmm")</f>
        <v>مايو</v>
      </c>
      <c r="P140">
        <f>ROUNDUP(Table1[[#This Row],[month]]/3,0)</f>
        <v>2</v>
      </c>
      <c r="Q140" t="str">
        <f>"Q"&amp;ROUNDUP(Table1[[#This Row],[month]]/3,0)</f>
        <v>Q2</v>
      </c>
    </row>
    <row r="141" spans="5:17" x14ac:dyDescent="0.25">
      <c r="E141">
        <v>137</v>
      </c>
      <c r="F141" t="s">
        <v>32</v>
      </c>
      <c r="G141" t="s">
        <v>43</v>
      </c>
      <c r="H141" t="s">
        <v>10</v>
      </c>
      <c r="I141">
        <v>6048</v>
      </c>
      <c r="J141">
        <v>27</v>
      </c>
      <c r="K141" s="8">
        <v>45063</v>
      </c>
      <c r="L141">
        <f>Table1[[#This Row],[unit price]]*Table1[[#This Row],[Units]]</f>
        <v>163296</v>
      </c>
      <c r="M141" t="str">
        <f>TEXT(Table1[[#This Row],[Order date ]],"dddd")</f>
        <v>الأربعاء</v>
      </c>
      <c r="N141">
        <f>MONTH(Table1[[#This Row],[Order date ]])</f>
        <v>5</v>
      </c>
      <c r="O141" t="str">
        <f>TEXT(Table1[[#This Row],[Order date ]],"mmm")</f>
        <v>مايو</v>
      </c>
      <c r="P141">
        <f>ROUNDUP(Table1[[#This Row],[month]]/3,0)</f>
        <v>2</v>
      </c>
      <c r="Q141" t="str">
        <f>"Q"&amp;ROUNDUP(Table1[[#This Row],[month]]/3,0)</f>
        <v>Q2</v>
      </c>
    </row>
    <row r="142" spans="5:17" x14ac:dyDescent="0.25">
      <c r="E142">
        <v>138</v>
      </c>
      <c r="F142" t="s">
        <v>29</v>
      </c>
      <c r="G142" t="s">
        <v>37</v>
      </c>
      <c r="H142" t="s">
        <v>25</v>
      </c>
      <c r="I142">
        <v>3752</v>
      </c>
      <c r="J142">
        <v>213</v>
      </c>
      <c r="K142" s="8">
        <v>45064</v>
      </c>
      <c r="L142">
        <f>Table1[[#This Row],[unit price]]*Table1[[#This Row],[Units]]</f>
        <v>799176</v>
      </c>
      <c r="M142" t="str">
        <f>TEXT(Table1[[#This Row],[Order date ]],"dddd")</f>
        <v>الخميس</v>
      </c>
      <c r="N142">
        <f>MONTH(Table1[[#This Row],[Order date ]])</f>
        <v>5</v>
      </c>
      <c r="O142" t="str">
        <f>TEXT(Table1[[#This Row],[Order date ]],"mmm")</f>
        <v>مايو</v>
      </c>
      <c r="P142">
        <f>ROUNDUP(Table1[[#This Row],[month]]/3,0)</f>
        <v>2</v>
      </c>
      <c r="Q142" t="str">
        <f>"Q"&amp;ROUNDUP(Table1[[#This Row],[month]]/3,0)</f>
        <v>Q2</v>
      </c>
    </row>
    <row r="143" spans="5:17" x14ac:dyDescent="0.25">
      <c r="E143">
        <v>139</v>
      </c>
      <c r="F143" t="s">
        <v>33</v>
      </c>
      <c r="G143" t="s">
        <v>45</v>
      </c>
      <c r="H143" t="s">
        <v>22</v>
      </c>
      <c r="I143">
        <v>4480</v>
      </c>
      <c r="J143">
        <v>357</v>
      </c>
      <c r="K143" s="8">
        <v>45065</v>
      </c>
      <c r="L143">
        <f>Table1[[#This Row],[unit price]]*Table1[[#This Row],[Units]]</f>
        <v>1599360</v>
      </c>
      <c r="M143" t="str">
        <f>TEXT(Table1[[#This Row],[Order date ]],"dddd")</f>
        <v>الجمعة</v>
      </c>
      <c r="N143">
        <f>MONTH(Table1[[#This Row],[Order date ]])</f>
        <v>5</v>
      </c>
      <c r="O143" t="str">
        <f>TEXT(Table1[[#This Row],[Order date ]],"mmm")</f>
        <v>مايو</v>
      </c>
      <c r="P143">
        <f>ROUNDUP(Table1[[#This Row],[month]]/3,0)</f>
        <v>2</v>
      </c>
      <c r="Q143" t="str">
        <f>"Q"&amp;ROUNDUP(Table1[[#This Row],[month]]/3,0)</f>
        <v>Q2</v>
      </c>
    </row>
    <row r="144" spans="5:17" x14ac:dyDescent="0.25">
      <c r="E144">
        <v>140</v>
      </c>
      <c r="F144" t="s">
        <v>3</v>
      </c>
      <c r="G144" t="s">
        <v>40</v>
      </c>
      <c r="H144" t="s">
        <v>2</v>
      </c>
      <c r="I144">
        <v>259</v>
      </c>
      <c r="J144">
        <v>207</v>
      </c>
      <c r="K144" s="8">
        <v>45066</v>
      </c>
      <c r="L144">
        <f>Table1[[#This Row],[unit price]]*Table1[[#This Row],[Units]]</f>
        <v>53613</v>
      </c>
      <c r="M144" t="str">
        <f>TEXT(Table1[[#This Row],[Order date ]],"dddd")</f>
        <v>السبت</v>
      </c>
      <c r="N144">
        <f>MONTH(Table1[[#This Row],[Order date ]])</f>
        <v>5</v>
      </c>
      <c r="O144" t="str">
        <f>TEXT(Table1[[#This Row],[Order date ]],"mmm")</f>
        <v>مايو</v>
      </c>
      <c r="P144">
        <f>ROUNDUP(Table1[[#This Row],[month]]/3,0)</f>
        <v>2</v>
      </c>
      <c r="Q144" t="str">
        <f>"Q"&amp;ROUNDUP(Table1[[#This Row],[month]]/3,0)</f>
        <v>Q2</v>
      </c>
    </row>
    <row r="145" spans="5:17" x14ac:dyDescent="0.25">
      <c r="E145">
        <v>141</v>
      </c>
      <c r="F145" t="s">
        <v>29</v>
      </c>
      <c r="G145" t="s">
        <v>40</v>
      </c>
      <c r="H145" t="s">
        <v>23</v>
      </c>
      <c r="I145">
        <v>42</v>
      </c>
      <c r="J145">
        <v>150</v>
      </c>
      <c r="K145" s="8">
        <v>45067</v>
      </c>
      <c r="L145">
        <f>Table1[[#This Row],[unit price]]*Table1[[#This Row],[Units]]</f>
        <v>6300</v>
      </c>
      <c r="M145" t="str">
        <f>TEXT(Table1[[#This Row],[Order date ]],"dddd")</f>
        <v>الأحد</v>
      </c>
      <c r="N145">
        <f>MONTH(Table1[[#This Row],[Order date ]])</f>
        <v>5</v>
      </c>
      <c r="O145" t="str">
        <f>TEXT(Table1[[#This Row],[Order date ]],"mmm")</f>
        <v>مايو</v>
      </c>
      <c r="P145">
        <f>ROUNDUP(Table1[[#This Row],[month]]/3,0)</f>
        <v>2</v>
      </c>
      <c r="Q145" t="str">
        <f>"Q"&amp;ROUNDUP(Table1[[#This Row],[month]]/3,0)</f>
        <v>Q2</v>
      </c>
    </row>
    <row r="146" spans="5:17" x14ac:dyDescent="0.25">
      <c r="E146">
        <v>142</v>
      </c>
      <c r="F146" t="s">
        <v>30</v>
      </c>
      <c r="G146" t="s">
        <v>38</v>
      </c>
      <c r="H146" t="s">
        <v>19</v>
      </c>
      <c r="I146">
        <v>98</v>
      </c>
      <c r="J146">
        <v>204</v>
      </c>
      <c r="K146" s="8">
        <v>45068</v>
      </c>
      <c r="L146">
        <f>Table1[[#This Row],[unit price]]*Table1[[#This Row],[Units]]</f>
        <v>19992</v>
      </c>
      <c r="M146" t="str">
        <f>TEXT(Table1[[#This Row],[Order date ]],"dddd")</f>
        <v>الإثنين</v>
      </c>
      <c r="N146">
        <f>MONTH(Table1[[#This Row],[Order date ]])</f>
        <v>5</v>
      </c>
      <c r="O146" t="str">
        <f>TEXT(Table1[[#This Row],[Order date ]],"mmm")</f>
        <v>مايو</v>
      </c>
      <c r="P146">
        <f>ROUNDUP(Table1[[#This Row],[month]]/3,0)</f>
        <v>2</v>
      </c>
      <c r="Q146" t="str">
        <f>"Q"&amp;ROUNDUP(Table1[[#This Row],[month]]/3,0)</f>
        <v>Q2</v>
      </c>
    </row>
    <row r="147" spans="5:17" x14ac:dyDescent="0.25">
      <c r="E147">
        <v>143</v>
      </c>
      <c r="F147" t="s">
        <v>31</v>
      </c>
      <c r="G147" t="s">
        <v>45</v>
      </c>
      <c r="H147" t="s">
        <v>20</v>
      </c>
      <c r="I147">
        <v>2478</v>
      </c>
      <c r="J147">
        <v>21</v>
      </c>
      <c r="K147" s="8">
        <v>45069</v>
      </c>
      <c r="L147">
        <f>Table1[[#This Row],[unit price]]*Table1[[#This Row],[Units]]</f>
        <v>52038</v>
      </c>
      <c r="M147" t="str">
        <f>TEXT(Table1[[#This Row],[Order date ]],"dddd")</f>
        <v>الثلاثاء</v>
      </c>
      <c r="N147">
        <f>MONTH(Table1[[#This Row],[Order date ]])</f>
        <v>5</v>
      </c>
      <c r="O147" t="str">
        <f>TEXT(Table1[[#This Row],[Order date ]],"mmm")</f>
        <v>مايو</v>
      </c>
      <c r="P147">
        <f>ROUNDUP(Table1[[#This Row],[month]]/3,0)</f>
        <v>2</v>
      </c>
      <c r="Q147" t="str">
        <f>"Q"&amp;ROUNDUP(Table1[[#This Row],[month]]/3,0)</f>
        <v>Q2</v>
      </c>
    </row>
    <row r="148" spans="5:17" x14ac:dyDescent="0.25">
      <c r="E148">
        <v>144</v>
      </c>
      <c r="F148" t="s">
        <v>30</v>
      </c>
      <c r="G148" t="s">
        <v>39</v>
      </c>
      <c r="H148" t="s">
        <v>26</v>
      </c>
      <c r="I148">
        <v>7847</v>
      </c>
      <c r="J148">
        <v>174</v>
      </c>
      <c r="K148" s="8">
        <v>45070</v>
      </c>
      <c r="L148">
        <f>Table1[[#This Row],[unit price]]*Table1[[#This Row],[Units]]</f>
        <v>1365378</v>
      </c>
      <c r="M148" t="str">
        <f>TEXT(Table1[[#This Row],[Order date ]],"dddd")</f>
        <v>الأربعاء</v>
      </c>
      <c r="N148">
        <f>MONTH(Table1[[#This Row],[Order date ]])</f>
        <v>5</v>
      </c>
      <c r="O148" t="str">
        <f>TEXT(Table1[[#This Row],[Order date ]],"mmm")</f>
        <v>مايو</v>
      </c>
      <c r="P148">
        <f>ROUNDUP(Table1[[#This Row],[month]]/3,0)</f>
        <v>2</v>
      </c>
      <c r="Q148" t="str">
        <f>"Q"&amp;ROUNDUP(Table1[[#This Row],[month]]/3,0)</f>
        <v>Q2</v>
      </c>
    </row>
    <row r="149" spans="5:17" x14ac:dyDescent="0.25">
      <c r="E149">
        <v>145</v>
      </c>
      <c r="F149" t="s">
        <v>28</v>
      </c>
      <c r="G149" t="s">
        <v>40</v>
      </c>
      <c r="H149" t="s">
        <v>10</v>
      </c>
      <c r="I149">
        <v>9926</v>
      </c>
      <c r="J149">
        <v>201</v>
      </c>
      <c r="K149" s="8">
        <v>45071</v>
      </c>
      <c r="L149">
        <f>Table1[[#This Row],[unit price]]*Table1[[#This Row],[Units]]</f>
        <v>1995126</v>
      </c>
      <c r="M149" t="str">
        <f>TEXT(Table1[[#This Row],[Order date ]],"dddd")</f>
        <v>الخميس</v>
      </c>
      <c r="N149">
        <f>MONTH(Table1[[#This Row],[Order date ]])</f>
        <v>5</v>
      </c>
      <c r="O149" t="str">
        <f>TEXT(Table1[[#This Row],[Order date ]],"mmm")</f>
        <v>مايو</v>
      </c>
      <c r="P149">
        <f>ROUNDUP(Table1[[#This Row],[month]]/3,0)</f>
        <v>2</v>
      </c>
      <c r="Q149" t="str">
        <f>"Q"&amp;ROUNDUP(Table1[[#This Row],[month]]/3,0)</f>
        <v>Q2</v>
      </c>
    </row>
    <row r="150" spans="5:17" x14ac:dyDescent="0.25">
      <c r="E150">
        <v>146</v>
      </c>
      <c r="F150" t="s">
        <v>29</v>
      </c>
      <c r="G150" t="s">
        <v>37</v>
      </c>
      <c r="H150" t="s">
        <v>6</v>
      </c>
      <c r="I150">
        <v>819</v>
      </c>
      <c r="J150">
        <v>510</v>
      </c>
      <c r="K150" s="8">
        <v>45072</v>
      </c>
      <c r="L150">
        <f>Table1[[#This Row],[unit price]]*Table1[[#This Row],[Units]]</f>
        <v>417690</v>
      </c>
      <c r="M150" t="str">
        <f>TEXT(Table1[[#This Row],[Order date ]],"dddd")</f>
        <v>الجمعة</v>
      </c>
      <c r="N150">
        <f>MONTH(Table1[[#This Row],[Order date ]])</f>
        <v>5</v>
      </c>
      <c r="O150" t="str">
        <f>TEXT(Table1[[#This Row],[Order date ]],"mmm")</f>
        <v>مايو</v>
      </c>
      <c r="P150">
        <f>ROUNDUP(Table1[[#This Row],[month]]/3,0)</f>
        <v>2</v>
      </c>
      <c r="Q150" t="str">
        <f>"Q"&amp;ROUNDUP(Table1[[#This Row],[month]]/3,0)</f>
        <v>Q2</v>
      </c>
    </row>
    <row r="151" spans="5:17" x14ac:dyDescent="0.25">
      <c r="E151">
        <v>147</v>
      </c>
      <c r="F151" t="s">
        <v>32</v>
      </c>
      <c r="G151" t="s">
        <v>43</v>
      </c>
      <c r="H151" t="s">
        <v>22</v>
      </c>
      <c r="I151">
        <v>3052</v>
      </c>
      <c r="J151">
        <v>378</v>
      </c>
      <c r="K151" s="8">
        <v>45073</v>
      </c>
      <c r="L151">
        <f>Table1[[#This Row],[unit price]]*Table1[[#This Row],[Units]]</f>
        <v>1153656</v>
      </c>
      <c r="M151" t="str">
        <f>TEXT(Table1[[#This Row],[Order date ]],"dddd")</f>
        <v>السبت</v>
      </c>
      <c r="N151">
        <f>MONTH(Table1[[#This Row],[Order date ]])</f>
        <v>5</v>
      </c>
      <c r="O151" t="str">
        <f>TEXT(Table1[[#This Row],[Order date ]],"mmm")</f>
        <v>مايو</v>
      </c>
      <c r="P151">
        <f>ROUNDUP(Table1[[#This Row],[month]]/3,0)</f>
        <v>2</v>
      </c>
      <c r="Q151" t="str">
        <f>"Q"&amp;ROUNDUP(Table1[[#This Row],[month]]/3,0)</f>
        <v>Q2</v>
      </c>
    </row>
    <row r="152" spans="5:17" x14ac:dyDescent="0.25">
      <c r="E152">
        <v>148</v>
      </c>
      <c r="F152" t="s">
        <v>3</v>
      </c>
      <c r="G152" t="s">
        <v>39</v>
      </c>
      <c r="H152" t="s">
        <v>14</v>
      </c>
      <c r="I152">
        <v>6832</v>
      </c>
      <c r="J152">
        <v>27</v>
      </c>
      <c r="K152" s="8">
        <v>45074</v>
      </c>
      <c r="L152">
        <f>Table1[[#This Row],[unit price]]*Table1[[#This Row],[Units]]</f>
        <v>184464</v>
      </c>
      <c r="M152" t="str">
        <f>TEXT(Table1[[#This Row],[Order date ]],"dddd")</f>
        <v>الأحد</v>
      </c>
      <c r="N152">
        <f>MONTH(Table1[[#This Row],[Order date ]])</f>
        <v>5</v>
      </c>
      <c r="O152" t="str">
        <f>TEXT(Table1[[#This Row],[Order date ]],"mmm")</f>
        <v>مايو</v>
      </c>
      <c r="P152">
        <f>ROUNDUP(Table1[[#This Row],[month]]/3,0)</f>
        <v>2</v>
      </c>
      <c r="Q152" t="str">
        <f>"Q"&amp;ROUNDUP(Table1[[#This Row],[month]]/3,0)</f>
        <v>Q2</v>
      </c>
    </row>
    <row r="153" spans="5:17" x14ac:dyDescent="0.25">
      <c r="E153">
        <v>149</v>
      </c>
      <c r="F153" t="s">
        <v>28</v>
      </c>
      <c r="G153" t="s">
        <v>43</v>
      </c>
      <c r="H153" t="s">
        <v>9</v>
      </c>
      <c r="I153">
        <v>2016</v>
      </c>
      <c r="J153">
        <v>117</v>
      </c>
      <c r="K153" s="8">
        <v>45075</v>
      </c>
      <c r="L153">
        <f>Table1[[#This Row],[unit price]]*Table1[[#This Row],[Units]]</f>
        <v>235872</v>
      </c>
      <c r="M153" t="str">
        <f>TEXT(Table1[[#This Row],[Order date ]],"dddd")</f>
        <v>الإثنين</v>
      </c>
      <c r="N153">
        <f>MONTH(Table1[[#This Row],[Order date ]])</f>
        <v>5</v>
      </c>
      <c r="O153" t="str">
        <f>TEXT(Table1[[#This Row],[Order date ]],"mmm")</f>
        <v>مايو</v>
      </c>
      <c r="P153">
        <f>ROUNDUP(Table1[[#This Row],[month]]/3,0)</f>
        <v>2</v>
      </c>
      <c r="Q153" t="str">
        <f>"Q"&amp;ROUNDUP(Table1[[#This Row],[month]]/3,0)</f>
        <v>Q2</v>
      </c>
    </row>
    <row r="154" spans="5:17" x14ac:dyDescent="0.25">
      <c r="E154">
        <v>150</v>
      </c>
      <c r="F154" t="s">
        <v>32</v>
      </c>
      <c r="G154" t="s">
        <v>37</v>
      </c>
      <c r="H154" t="s">
        <v>14</v>
      </c>
      <c r="I154">
        <v>7322</v>
      </c>
      <c r="J154">
        <v>36</v>
      </c>
      <c r="K154" s="8">
        <v>45076</v>
      </c>
      <c r="L154">
        <f>Table1[[#This Row],[unit price]]*Table1[[#This Row],[Units]]</f>
        <v>263592</v>
      </c>
      <c r="M154" t="str">
        <f>TEXT(Table1[[#This Row],[Order date ]],"dddd")</f>
        <v>الثلاثاء</v>
      </c>
      <c r="N154">
        <f>MONTH(Table1[[#This Row],[Order date ]])</f>
        <v>5</v>
      </c>
      <c r="O154" t="str">
        <f>TEXT(Table1[[#This Row],[Order date ]],"mmm")</f>
        <v>مايو</v>
      </c>
      <c r="P154">
        <f>ROUNDUP(Table1[[#This Row],[month]]/3,0)</f>
        <v>2</v>
      </c>
      <c r="Q154" t="str">
        <f>"Q"&amp;ROUNDUP(Table1[[#This Row],[month]]/3,0)</f>
        <v>Q2</v>
      </c>
    </row>
    <row r="155" spans="5:17" x14ac:dyDescent="0.25">
      <c r="E155">
        <v>151</v>
      </c>
      <c r="F155" t="s">
        <v>29</v>
      </c>
      <c r="G155" t="s">
        <v>45</v>
      </c>
      <c r="H155" t="s">
        <v>26</v>
      </c>
      <c r="I155">
        <v>357</v>
      </c>
      <c r="J155">
        <v>126</v>
      </c>
      <c r="K155" s="8">
        <v>45077</v>
      </c>
      <c r="L155">
        <f>Table1[[#This Row],[unit price]]*Table1[[#This Row],[Units]]</f>
        <v>44982</v>
      </c>
      <c r="M155" t="str">
        <f>TEXT(Table1[[#This Row],[Order date ]],"dddd")</f>
        <v>الأربعاء</v>
      </c>
      <c r="N155">
        <f>MONTH(Table1[[#This Row],[Order date ]])</f>
        <v>5</v>
      </c>
      <c r="O155" t="str">
        <f>TEXT(Table1[[#This Row],[Order date ]],"mmm")</f>
        <v>مايو</v>
      </c>
      <c r="P155">
        <f>ROUNDUP(Table1[[#This Row],[month]]/3,0)</f>
        <v>2</v>
      </c>
      <c r="Q155" t="str">
        <f>"Q"&amp;ROUNDUP(Table1[[#This Row],[month]]/3,0)</f>
        <v>Q2</v>
      </c>
    </row>
    <row r="156" spans="5:17" x14ac:dyDescent="0.25">
      <c r="E156">
        <v>152</v>
      </c>
      <c r="F156" t="s">
        <v>3</v>
      </c>
      <c r="G156" t="s">
        <v>43</v>
      </c>
      <c r="H156" t="s">
        <v>18</v>
      </c>
      <c r="I156">
        <v>3192</v>
      </c>
      <c r="J156">
        <v>72</v>
      </c>
      <c r="K156" s="8">
        <v>45078</v>
      </c>
      <c r="L156">
        <f>Table1[[#This Row],[unit price]]*Table1[[#This Row],[Units]]</f>
        <v>229824</v>
      </c>
      <c r="M156" t="str">
        <f>TEXT(Table1[[#This Row],[Order date ]],"dddd")</f>
        <v>الخميس</v>
      </c>
      <c r="N156">
        <f>MONTH(Table1[[#This Row],[Order date ]])</f>
        <v>6</v>
      </c>
      <c r="O156" t="str">
        <f>TEXT(Table1[[#This Row],[Order date ]],"mmm")</f>
        <v>يونيو</v>
      </c>
      <c r="P156">
        <f>ROUNDUP(Table1[[#This Row],[month]]/3,0)</f>
        <v>2</v>
      </c>
      <c r="Q156" t="str">
        <f>"Q"&amp;ROUNDUP(Table1[[#This Row],[month]]/3,0)</f>
        <v>Q2</v>
      </c>
    </row>
    <row r="157" spans="5:17" x14ac:dyDescent="0.25">
      <c r="E157">
        <v>153</v>
      </c>
      <c r="F157" t="s">
        <v>31</v>
      </c>
      <c r="G157" t="s">
        <v>38</v>
      </c>
      <c r="H157" t="s">
        <v>15</v>
      </c>
      <c r="I157">
        <v>8435</v>
      </c>
      <c r="J157">
        <v>42</v>
      </c>
      <c r="K157" s="8">
        <v>45079</v>
      </c>
      <c r="L157">
        <f>Table1[[#This Row],[unit price]]*Table1[[#This Row],[Units]]</f>
        <v>354270</v>
      </c>
      <c r="M157" t="str">
        <f>TEXT(Table1[[#This Row],[Order date ]],"dddd")</f>
        <v>الجمعة</v>
      </c>
      <c r="N157">
        <f>MONTH(Table1[[#This Row],[Order date ]])</f>
        <v>6</v>
      </c>
      <c r="O157" t="str">
        <f>TEXT(Table1[[#This Row],[Order date ]],"mmm")</f>
        <v>يونيو</v>
      </c>
      <c r="P157">
        <f>ROUNDUP(Table1[[#This Row],[month]]/3,0)</f>
        <v>2</v>
      </c>
      <c r="Q157" t="str">
        <f>"Q"&amp;ROUNDUP(Table1[[#This Row],[month]]/3,0)</f>
        <v>Q2</v>
      </c>
    </row>
    <row r="158" spans="5:17" x14ac:dyDescent="0.25">
      <c r="E158">
        <v>154</v>
      </c>
      <c r="F158" t="s">
        <v>36</v>
      </c>
      <c r="G158" t="s">
        <v>43</v>
      </c>
      <c r="H158" t="s">
        <v>22</v>
      </c>
      <c r="I158">
        <v>0</v>
      </c>
      <c r="J158">
        <v>135</v>
      </c>
      <c r="K158" s="8">
        <v>45080</v>
      </c>
      <c r="L158">
        <f>Table1[[#This Row],[unit price]]*Table1[[#This Row],[Units]]</f>
        <v>0</v>
      </c>
      <c r="M158" t="str">
        <f>TEXT(Table1[[#This Row],[Order date ]],"dddd")</f>
        <v>السبت</v>
      </c>
      <c r="N158">
        <f>MONTH(Table1[[#This Row],[Order date ]])</f>
        <v>6</v>
      </c>
      <c r="O158" t="str">
        <f>TEXT(Table1[[#This Row],[Order date ]],"mmm")</f>
        <v>يونيو</v>
      </c>
      <c r="P158">
        <f>ROUNDUP(Table1[[#This Row],[month]]/3,0)</f>
        <v>2</v>
      </c>
      <c r="Q158" t="str">
        <f>"Q"&amp;ROUNDUP(Table1[[#This Row],[month]]/3,0)</f>
        <v>Q2</v>
      </c>
    </row>
    <row r="159" spans="5:17" x14ac:dyDescent="0.25">
      <c r="E159">
        <v>155</v>
      </c>
      <c r="F159" t="s">
        <v>31</v>
      </c>
      <c r="G159" t="s">
        <v>39</v>
      </c>
      <c r="H159" t="s">
        <v>17</v>
      </c>
      <c r="I159">
        <v>8862</v>
      </c>
      <c r="J159">
        <v>189</v>
      </c>
      <c r="K159" s="8">
        <v>45081</v>
      </c>
      <c r="L159">
        <f>Table1[[#This Row],[unit price]]*Table1[[#This Row],[Units]]</f>
        <v>1674918</v>
      </c>
      <c r="M159" t="str">
        <f>TEXT(Table1[[#This Row],[Order date ]],"dddd")</f>
        <v>الأحد</v>
      </c>
      <c r="N159">
        <f>MONTH(Table1[[#This Row],[Order date ]])</f>
        <v>6</v>
      </c>
      <c r="O159" t="str">
        <f>TEXT(Table1[[#This Row],[Order date ]],"mmm")</f>
        <v>يونيو</v>
      </c>
      <c r="P159">
        <f>ROUNDUP(Table1[[#This Row],[month]]/3,0)</f>
        <v>2</v>
      </c>
      <c r="Q159" t="str">
        <f>"Q"&amp;ROUNDUP(Table1[[#This Row],[month]]/3,0)</f>
        <v>Q2</v>
      </c>
    </row>
    <row r="160" spans="5:17" x14ac:dyDescent="0.25">
      <c r="E160">
        <v>156</v>
      </c>
      <c r="F160" t="s">
        <v>32</v>
      </c>
      <c r="G160" t="s">
        <v>40</v>
      </c>
      <c r="H160" t="s">
        <v>21</v>
      </c>
      <c r="I160">
        <v>3556</v>
      </c>
      <c r="J160">
        <v>459</v>
      </c>
      <c r="K160" s="8">
        <v>45082</v>
      </c>
      <c r="L160">
        <f>Table1[[#This Row],[unit price]]*Table1[[#This Row],[Units]]</f>
        <v>1632204</v>
      </c>
      <c r="M160" t="str">
        <f>TEXT(Table1[[#This Row],[Order date ]],"dddd")</f>
        <v>الإثنين</v>
      </c>
      <c r="N160">
        <f>MONTH(Table1[[#This Row],[Order date ]])</f>
        <v>6</v>
      </c>
      <c r="O160" t="str">
        <f>TEXT(Table1[[#This Row],[Order date ]],"mmm")</f>
        <v>يونيو</v>
      </c>
      <c r="P160">
        <f>ROUNDUP(Table1[[#This Row],[month]]/3,0)</f>
        <v>2</v>
      </c>
      <c r="Q160" t="str">
        <f>"Q"&amp;ROUNDUP(Table1[[#This Row],[month]]/3,0)</f>
        <v>Q2</v>
      </c>
    </row>
    <row r="161" spans="5:17" x14ac:dyDescent="0.25">
      <c r="E161">
        <v>157</v>
      </c>
      <c r="F161" t="s">
        <v>33</v>
      </c>
      <c r="G161" t="s">
        <v>39</v>
      </c>
      <c r="H161" t="s">
        <v>8</v>
      </c>
      <c r="I161">
        <v>7280</v>
      </c>
      <c r="J161">
        <v>201</v>
      </c>
      <c r="K161" s="8">
        <v>45083</v>
      </c>
      <c r="L161">
        <f>Table1[[#This Row],[unit price]]*Table1[[#This Row],[Units]]</f>
        <v>1463280</v>
      </c>
      <c r="M161" t="str">
        <f>TEXT(Table1[[#This Row],[Order date ]],"dddd")</f>
        <v>الثلاثاء</v>
      </c>
      <c r="N161">
        <f>MONTH(Table1[[#This Row],[Order date ]])</f>
        <v>6</v>
      </c>
      <c r="O161" t="str">
        <f>TEXT(Table1[[#This Row],[Order date ]],"mmm")</f>
        <v>يونيو</v>
      </c>
      <c r="P161">
        <f>ROUNDUP(Table1[[#This Row],[month]]/3,0)</f>
        <v>2</v>
      </c>
      <c r="Q161" t="str">
        <f>"Q"&amp;ROUNDUP(Table1[[#This Row],[month]]/3,0)</f>
        <v>Q2</v>
      </c>
    </row>
    <row r="162" spans="5:17" x14ac:dyDescent="0.25">
      <c r="E162">
        <v>158</v>
      </c>
      <c r="F162" t="s">
        <v>32</v>
      </c>
      <c r="G162" t="s">
        <v>39</v>
      </c>
      <c r="H162" t="s">
        <v>23</v>
      </c>
      <c r="I162">
        <v>3402</v>
      </c>
      <c r="J162">
        <v>366</v>
      </c>
      <c r="K162" s="8">
        <v>45084</v>
      </c>
      <c r="L162">
        <f>Table1[[#This Row],[unit price]]*Table1[[#This Row],[Units]]</f>
        <v>1245132</v>
      </c>
      <c r="M162" t="str">
        <f>TEXT(Table1[[#This Row],[Order date ]],"dddd")</f>
        <v>الأربعاء</v>
      </c>
      <c r="N162">
        <f>MONTH(Table1[[#This Row],[Order date ]])</f>
        <v>6</v>
      </c>
      <c r="O162" t="str">
        <f>TEXT(Table1[[#This Row],[Order date ]],"mmm")</f>
        <v>يونيو</v>
      </c>
      <c r="P162">
        <f>ROUNDUP(Table1[[#This Row],[month]]/3,0)</f>
        <v>2</v>
      </c>
      <c r="Q162" t="str">
        <f>"Q"&amp;ROUNDUP(Table1[[#This Row],[month]]/3,0)</f>
        <v>Q2</v>
      </c>
    </row>
    <row r="163" spans="5:17" x14ac:dyDescent="0.25">
      <c r="E163">
        <v>159</v>
      </c>
      <c r="F163" t="s">
        <v>34</v>
      </c>
      <c r="G163" t="s">
        <v>40</v>
      </c>
      <c r="H163" t="s">
        <v>22</v>
      </c>
      <c r="I163">
        <v>4592</v>
      </c>
      <c r="J163">
        <v>324</v>
      </c>
      <c r="K163" s="8">
        <v>45085</v>
      </c>
      <c r="L163">
        <f>Table1[[#This Row],[unit price]]*Table1[[#This Row],[Units]]</f>
        <v>1487808</v>
      </c>
      <c r="M163" t="str">
        <f>TEXT(Table1[[#This Row],[Order date ]],"dddd")</f>
        <v>الخميس</v>
      </c>
      <c r="N163">
        <f>MONTH(Table1[[#This Row],[Order date ]])</f>
        <v>6</v>
      </c>
      <c r="O163" t="str">
        <f>TEXT(Table1[[#This Row],[Order date ]],"mmm")</f>
        <v>يونيو</v>
      </c>
      <c r="P163">
        <f>ROUNDUP(Table1[[#This Row],[month]]/3,0)</f>
        <v>2</v>
      </c>
      <c r="Q163" t="str">
        <f>"Q"&amp;ROUNDUP(Table1[[#This Row],[month]]/3,0)</f>
        <v>Q2</v>
      </c>
    </row>
    <row r="164" spans="5:17" x14ac:dyDescent="0.25">
      <c r="E164">
        <v>160</v>
      </c>
      <c r="F164" t="s">
        <v>3</v>
      </c>
      <c r="G164" t="s">
        <v>45</v>
      </c>
      <c r="H164" t="s">
        <v>8</v>
      </c>
      <c r="I164">
        <v>7833</v>
      </c>
      <c r="J164">
        <v>243</v>
      </c>
      <c r="K164" s="8">
        <v>45086</v>
      </c>
      <c r="L164">
        <f>Table1[[#This Row],[unit price]]*Table1[[#This Row],[Units]]</f>
        <v>1903419</v>
      </c>
      <c r="M164" t="str">
        <f>TEXT(Table1[[#This Row],[Order date ]],"dddd")</f>
        <v>الجمعة</v>
      </c>
      <c r="N164">
        <f>MONTH(Table1[[#This Row],[Order date ]])</f>
        <v>6</v>
      </c>
      <c r="O164" t="str">
        <f>TEXT(Table1[[#This Row],[Order date ]],"mmm")</f>
        <v>يونيو</v>
      </c>
      <c r="P164">
        <f>ROUNDUP(Table1[[#This Row],[month]]/3,0)</f>
        <v>2</v>
      </c>
      <c r="Q164" t="str">
        <f>"Q"&amp;ROUNDUP(Table1[[#This Row],[month]]/3,0)</f>
        <v>Q2</v>
      </c>
    </row>
    <row r="165" spans="5:17" x14ac:dyDescent="0.25">
      <c r="E165">
        <v>161</v>
      </c>
      <c r="F165" t="s">
        <v>28</v>
      </c>
      <c r="G165" t="s">
        <v>43</v>
      </c>
      <c r="H165" t="s">
        <v>14</v>
      </c>
      <c r="I165">
        <v>7651</v>
      </c>
      <c r="J165">
        <v>213</v>
      </c>
      <c r="K165" s="8">
        <v>45087</v>
      </c>
      <c r="L165">
        <f>Table1[[#This Row],[unit price]]*Table1[[#This Row],[Units]]</f>
        <v>1629663</v>
      </c>
      <c r="M165" t="str">
        <f>TEXT(Table1[[#This Row],[Order date ]],"dddd")</f>
        <v>السبت</v>
      </c>
      <c r="N165">
        <f>MONTH(Table1[[#This Row],[Order date ]])</f>
        <v>6</v>
      </c>
      <c r="O165" t="str">
        <f>TEXT(Table1[[#This Row],[Order date ]],"mmm")</f>
        <v>يونيو</v>
      </c>
      <c r="P165">
        <f>ROUNDUP(Table1[[#This Row],[month]]/3,0)</f>
        <v>2</v>
      </c>
      <c r="Q165" t="str">
        <f>"Q"&amp;ROUNDUP(Table1[[#This Row],[month]]/3,0)</f>
        <v>Q2</v>
      </c>
    </row>
    <row r="166" spans="5:17" x14ac:dyDescent="0.25">
      <c r="E166">
        <v>162</v>
      </c>
      <c r="F166" t="s">
        <v>36</v>
      </c>
      <c r="G166" t="s">
        <v>45</v>
      </c>
      <c r="H166" t="s">
        <v>23</v>
      </c>
      <c r="I166">
        <v>2275</v>
      </c>
      <c r="J166">
        <v>447</v>
      </c>
      <c r="K166" s="8">
        <v>45088</v>
      </c>
      <c r="L166">
        <f>Table1[[#This Row],[unit price]]*Table1[[#This Row],[Units]]</f>
        <v>1016925</v>
      </c>
      <c r="M166" t="str">
        <f>TEXT(Table1[[#This Row],[Order date ]],"dddd")</f>
        <v>الأحد</v>
      </c>
      <c r="N166">
        <f>MONTH(Table1[[#This Row],[Order date ]])</f>
        <v>6</v>
      </c>
      <c r="O166" t="str">
        <f>TEXT(Table1[[#This Row],[Order date ]],"mmm")</f>
        <v>يونيو</v>
      </c>
      <c r="P166">
        <f>ROUNDUP(Table1[[#This Row],[month]]/3,0)</f>
        <v>2</v>
      </c>
      <c r="Q166" t="str">
        <f>"Q"&amp;ROUNDUP(Table1[[#This Row],[month]]/3,0)</f>
        <v>Q2</v>
      </c>
    </row>
    <row r="167" spans="5:17" x14ac:dyDescent="0.25">
      <c r="E167">
        <v>163</v>
      </c>
      <c r="F167" t="s">
        <v>36</v>
      </c>
      <c r="G167" t="s">
        <v>37</v>
      </c>
      <c r="H167" t="s">
        <v>6</v>
      </c>
      <c r="I167">
        <v>5670</v>
      </c>
      <c r="J167">
        <v>297</v>
      </c>
      <c r="K167" s="8">
        <v>45089</v>
      </c>
      <c r="L167">
        <f>Table1[[#This Row],[unit price]]*Table1[[#This Row],[Units]]</f>
        <v>1683990</v>
      </c>
      <c r="M167" t="str">
        <f>TEXT(Table1[[#This Row],[Order date ]],"dddd")</f>
        <v>الإثنين</v>
      </c>
      <c r="N167">
        <f>MONTH(Table1[[#This Row],[Order date ]])</f>
        <v>6</v>
      </c>
      <c r="O167" t="str">
        <f>TEXT(Table1[[#This Row],[Order date ]],"mmm")</f>
        <v>يونيو</v>
      </c>
      <c r="P167">
        <f>ROUNDUP(Table1[[#This Row],[month]]/3,0)</f>
        <v>2</v>
      </c>
      <c r="Q167" t="str">
        <f>"Q"&amp;ROUNDUP(Table1[[#This Row],[month]]/3,0)</f>
        <v>Q2</v>
      </c>
    </row>
    <row r="168" spans="5:17" x14ac:dyDescent="0.25">
      <c r="E168">
        <v>164</v>
      </c>
      <c r="F168" t="s">
        <v>31</v>
      </c>
      <c r="G168" t="s">
        <v>45</v>
      </c>
      <c r="H168" t="s">
        <v>9</v>
      </c>
      <c r="I168">
        <v>2135</v>
      </c>
      <c r="J168">
        <v>27</v>
      </c>
      <c r="K168" s="8">
        <v>45090</v>
      </c>
      <c r="L168">
        <f>Table1[[#This Row],[unit price]]*Table1[[#This Row],[Units]]</f>
        <v>57645</v>
      </c>
      <c r="M168" t="str">
        <f>TEXT(Table1[[#This Row],[Order date ]],"dddd")</f>
        <v>الثلاثاء</v>
      </c>
      <c r="N168">
        <f>MONTH(Table1[[#This Row],[Order date ]])</f>
        <v>6</v>
      </c>
      <c r="O168" t="str">
        <f>TEXT(Table1[[#This Row],[Order date ]],"mmm")</f>
        <v>يونيو</v>
      </c>
      <c r="P168">
        <f>ROUNDUP(Table1[[#This Row],[month]]/3,0)</f>
        <v>2</v>
      </c>
      <c r="Q168" t="str">
        <f>"Q"&amp;ROUNDUP(Table1[[#This Row],[month]]/3,0)</f>
        <v>Q2</v>
      </c>
    </row>
    <row r="169" spans="5:17" x14ac:dyDescent="0.25">
      <c r="E169">
        <v>165</v>
      </c>
      <c r="F169" t="s">
        <v>36</v>
      </c>
      <c r="G169" t="s">
        <v>39</v>
      </c>
      <c r="H169" t="s">
        <v>16</v>
      </c>
      <c r="I169">
        <v>2779</v>
      </c>
      <c r="J169">
        <v>75</v>
      </c>
      <c r="K169" s="8">
        <v>45091</v>
      </c>
      <c r="L169">
        <f>Table1[[#This Row],[unit price]]*Table1[[#This Row],[Units]]</f>
        <v>208425</v>
      </c>
      <c r="M169" t="str">
        <f>TEXT(Table1[[#This Row],[Order date ]],"dddd")</f>
        <v>الأربعاء</v>
      </c>
      <c r="N169">
        <f>MONTH(Table1[[#This Row],[Order date ]])</f>
        <v>6</v>
      </c>
      <c r="O169" t="str">
        <f>TEXT(Table1[[#This Row],[Order date ]],"mmm")</f>
        <v>يونيو</v>
      </c>
      <c r="P169">
        <f>ROUNDUP(Table1[[#This Row],[month]]/3,0)</f>
        <v>2</v>
      </c>
      <c r="Q169" t="str">
        <f>"Q"&amp;ROUNDUP(Table1[[#This Row],[month]]/3,0)</f>
        <v>Q2</v>
      </c>
    </row>
    <row r="170" spans="5:17" x14ac:dyDescent="0.25">
      <c r="E170">
        <v>166</v>
      </c>
      <c r="F170" t="s">
        <v>35</v>
      </c>
      <c r="G170" t="s">
        <v>43</v>
      </c>
      <c r="H170" t="s">
        <v>26</v>
      </c>
      <c r="I170">
        <v>12950</v>
      </c>
      <c r="J170">
        <v>30</v>
      </c>
      <c r="K170" s="8">
        <v>45092</v>
      </c>
      <c r="L170">
        <f>Table1[[#This Row],[unit price]]*Table1[[#This Row],[Units]]</f>
        <v>388500</v>
      </c>
      <c r="M170" t="str">
        <f>TEXT(Table1[[#This Row],[Order date ]],"dddd")</f>
        <v>الخميس</v>
      </c>
      <c r="N170">
        <f>MONTH(Table1[[#This Row],[Order date ]])</f>
        <v>6</v>
      </c>
      <c r="O170" t="str">
        <f>TEXT(Table1[[#This Row],[Order date ]],"mmm")</f>
        <v>يونيو</v>
      </c>
      <c r="P170">
        <f>ROUNDUP(Table1[[#This Row],[month]]/3,0)</f>
        <v>2</v>
      </c>
      <c r="Q170" t="str">
        <f>"Q"&amp;ROUNDUP(Table1[[#This Row],[month]]/3,0)</f>
        <v>Q2</v>
      </c>
    </row>
    <row r="171" spans="5:17" x14ac:dyDescent="0.25">
      <c r="E171">
        <v>167</v>
      </c>
      <c r="F171" t="s">
        <v>31</v>
      </c>
      <c r="G171" t="s">
        <v>38</v>
      </c>
      <c r="H171" t="s">
        <v>11</v>
      </c>
      <c r="I171">
        <v>2646</v>
      </c>
      <c r="J171">
        <v>177</v>
      </c>
      <c r="K171" s="8">
        <v>45093</v>
      </c>
      <c r="L171">
        <f>Table1[[#This Row],[unit price]]*Table1[[#This Row],[Units]]</f>
        <v>468342</v>
      </c>
      <c r="M171" t="str">
        <f>TEXT(Table1[[#This Row],[Order date ]],"dddd")</f>
        <v>الجمعة</v>
      </c>
      <c r="N171">
        <f>MONTH(Table1[[#This Row],[Order date ]])</f>
        <v>6</v>
      </c>
      <c r="O171" t="str">
        <f>TEXT(Table1[[#This Row],[Order date ]],"mmm")</f>
        <v>يونيو</v>
      </c>
      <c r="P171">
        <f>ROUNDUP(Table1[[#This Row],[month]]/3,0)</f>
        <v>2</v>
      </c>
      <c r="Q171" t="str">
        <f>"Q"&amp;ROUNDUP(Table1[[#This Row],[month]]/3,0)</f>
        <v>Q2</v>
      </c>
    </row>
    <row r="172" spans="5:17" x14ac:dyDescent="0.25">
      <c r="E172">
        <v>168</v>
      </c>
      <c r="F172" t="s">
        <v>36</v>
      </c>
      <c r="G172" t="s">
        <v>39</v>
      </c>
      <c r="H172" t="s">
        <v>26</v>
      </c>
      <c r="I172">
        <v>3794</v>
      </c>
      <c r="J172">
        <v>159</v>
      </c>
      <c r="K172" s="8">
        <v>45094</v>
      </c>
      <c r="L172">
        <f>Table1[[#This Row],[unit price]]*Table1[[#This Row],[Units]]</f>
        <v>603246</v>
      </c>
      <c r="M172" t="str">
        <f>TEXT(Table1[[#This Row],[Order date ]],"dddd")</f>
        <v>السبت</v>
      </c>
      <c r="N172">
        <f>MONTH(Table1[[#This Row],[Order date ]])</f>
        <v>6</v>
      </c>
      <c r="O172" t="str">
        <f>TEXT(Table1[[#This Row],[Order date ]],"mmm")</f>
        <v>يونيو</v>
      </c>
      <c r="P172">
        <f>ROUNDUP(Table1[[#This Row],[month]]/3,0)</f>
        <v>2</v>
      </c>
      <c r="Q172" t="str">
        <f>"Q"&amp;ROUNDUP(Table1[[#This Row],[month]]/3,0)</f>
        <v>Q2</v>
      </c>
    </row>
    <row r="173" spans="5:17" x14ac:dyDescent="0.25">
      <c r="E173">
        <v>169</v>
      </c>
      <c r="F173" t="s">
        <v>34</v>
      </c>
      <c r="G173" t="s">
        <v>45</v>
      </c>
      <c r="H173" t="s">
        <v>26</v>
      </c>
      <c r="I173">
        <v>819</v>
      </c>
      <c r="J173">
        <v>306</v>
      </c>
      <c r="K173" s="8">
        <v>45095</v>
      </c>
      <c r="L173">
        <f>Table1[[#This Row],[unit price]]*Table1[[#This Row],[Units]]</f>
        <v>250614</v>
      </c>
      <c r="M173" t="str">
        <f>TEXT(Table1[[#This Row],[Order date ]],"dddd")</f>
        <v>الأحد</v>
      </c>
      <c r="N173">
        <f>MONTH(Table1[[#This Row],[Order date ]])</f>
        <v>6</v>
      </c>
      <c r="O173" t="str">
        <f>TEXT(Table1[[#This Row],[Order date ]],"mmm")</f>
        <v>يونيو</v>
      </c>
      <c r="P173">
        <f>ROUNDUP(Table1[[#This Row],[month]]/3,0)</f>
        <v>2</v>
      </c>
      <c r="Q173" t="str">
        <f>"Q"&amp;ROUNDUP(Table1[[#This Row],[month]]/3,0)</f>
        <v>Q2</v>
      </c>
    </row>
    <row r="174" spans="5:17" x14ac:dyDescent="0.25">
      <c r="E174">
        <v>170</v>
      </c>
      <c r="F174" t="s">
        <v>34</v>
      </c>
      <c r="G174" t="s">
        <v>39</v>
      </c>
      <c r="H174" t="s">
        <v>13</v>
      </c>
      <c r="I174">
        <v>2583</v>
      </c>
      <c r="J174">
        <v>18</v>
      </c>
      <c r="K174" s="8">
        <v>45096</v>
      </c>
      <c r="L174">
        <f>Table1[[#This Row],[unit price]]*Table1[[#This Row],[Units]]</f>
        <v>46494</v>
      </c>
      <c r="M174" t="str">
        <f>TEXT(Table1[[#This Row],[Order date ]],"dddd")</f>
        <v>الإثنين</v>
      </c>
      <c r="N174">
        <f>MONTH(Table1[[#This Row],[Order date ]])</f>
        <v>6</v>
      </c>
      <c r="O174" t="str">
        <f>TEXT(Table1[[#This Row],[Order date ]],"mmm")</f>
        <v>يونيو</v>
      </c>
      <c r="P174">
        <f>ROUNDUP(Table1[[#This Row],[month]]/3,0)</f>
        <v>2</v>
      </c>
      <c r="Q174" t="str">
        <f>"Q"&amp;ROUNDUP(Table1[[#This Row],[month]]/3,0)</f>
        <v>Q2</v>
      </c>
    </row>
    <row r="175" spans="5:17" x14ac:dyDescent="0.25">
      <c r="E175">
        <v>171</v>
      </c>
      <c r="F175" t="s">
        <v>31</v>
      </c>
      <c r="G175" t="s">
        <v>45</v>
      </c>
      <c r="H175" t="s">
        <v>12</v>
      </c>
      <c r="I175">
        <v>4585</v>
      </c>
      <c r="J175">
        <v>240</v>
      </c>
      <c r="K175" s="8">
        <v>45097</v>
      </c>
      <c r="L175">
        <f>Table1[[#This Row],[unit price]]*Table1[[#This Row],[Units]]</f>
        <v>1100400</v>
      </c>
      <c r="M175" t="str">
        <f>TEXT(Table1[[#This Row],[Order date ]],"dddd")</f>
        <v>الثلاثاء</v>
      </c>
      <c r="N175">
        <f>MONTH(Table1[[#This Row],[Order date ]])</f>
        <v>6</v>
      </c>
      <c r="O175" t="str">
        <f>TEXT(Table1[[#This Row],[Order date ]],"mmm")</f>
        <v>يونيو</v>
      </c>
      <c r="P175">
        <f>ROUNDUP(Table1[[#This Row],[month]]/3,0)</f>
        <v>2</v>
      </c>
      <c r="Q175" t="str">
        <f>"Q"&amp;ROUNDUP(Table1[[#This Row],[month]]/3,0)</f>
        <v>Q2</v>
      </c>
    </row>
    <row r="176" spans="5:17" x14ac:dyDescent="0.25">
      <c r="E176">
        <v>172</v>
      </c>
      <c r="F176" t="s">
        <v>33</v>
      </c>
      <c r="G176" t="s">
        <v>39</v>
      </c>
      <c r="H176" t="s">
        <v>26</v>
      </c>
      <c r="I176">
        <v>1652</v>
      </c>
      <c r="J176">
        <v>93</v>
      </c>
      <c r="K176" s="8">
        <v>45098</v>
      </c>
      <c r="L176">
        <f>Table1[[#This Row],[unit price]]*Table1[[#This Row],[Units]]</f>
        <v>153636</v>
      </c>
      <c r="M176" t="str">
        <f>TEXT(Table1[[#This Row],[Order date ]],"dddd")</f>
        <v>الأربعاء</v>
      </c>
      <c r="N176">
        <f>MONTH(Table1[[#This Row],[Order date ]])</f>
        <v>6</v>
      </c>
      <c r="O176" t="str">
        <f>TEXT(Table1[[#This Row],[Order date ]],"mmm")</f>
        <v>يونيو</v>
      </c>
      <c r="P176">
        <f>ROUNDUP(Table1[[#This Row],[month]]/3,0)</f>
        <v>2</v>
      </c>
      <c r="Q176" t="str">
        <f>"Q"&amp;ROUNDUP(Table1[[#This Row],[month]]/3,0)</f>
        <v>Q2</v>
      </c>
    </row>
    <row r="177" spans="5:17" x14ac:dyDescent="0.25">
      <c r="E177">
        <v>173</v>
      </c>
      <c r="F177" t="s">
        <v>35</v>
      </c>
      <c r="G177" t="s">
        <v>39</v>
      </c>
      <c r="H177" t="s">
        <v>19</v>
      </c>
      <c r="I177">
        <v>4991</v>
      </c>
      <c r="J177">
        <v>9</v>
      </c>
      <c r="K177" s="8">
        <v>45099</v>
      </c>
      <c r="L177">
        <f>Table1[[#This Row],[unit price]]*Table1[[#This Row],[Units]]</f>
        <v>44919</v>
      </c>
      <c r="M177" t="str">
        <f>TEXT(Table1[[#This Row],[Order date ]],"dddd")</f>
        <v>الخميس</v>
      </c>
      <c r="N177">
        <f>MONTH(Table1[[#This Row],[Order date ]])</f>
        <v>6</v>
      </c>
      <c r="O177" t="str">
        <f>TEXT(Table1[[#This Row],[Order date ]],"mmm")</f>
        <v>يونيو</v>
      </c>
      <c r="P177">
        <f>ROUNDUP(Table1[[#This Row],[month]]/3,0)</f>
        <v>2</v>
      </c>
      <c r="Q177" t="str">
        <f>"Q"&amp;ROUNDUP(Table1[[#This Row],[month]]/3,0)</f>
        <v>Q2</v>
      </c>
    </row>
    <row r="178" spans="5:17" x14ac:dyDescent="0.25">
      <c r="E178">
        <v>174</v>
      </c>
      <c r="F178" t="s">
        <v>29</v>
      </c>
      <c r="G178" t="s">
        <v>39</v>
      </c>
      <c r="H178" t="s">
        <v>9</v>
      </c>
      <c r="I178">
        <v>2009</v>
      </c>
      <c r="J178">
        <v>219</v>
      </c>
      <c r="K178" s="8">
        <v>45100</v>
      </c>
      <c r="L178">
        <f>Table1[[#This Row],[unit price]]*Table1[[#This Row],[Units]]</f>
        <v>439971</v>
      </c>
      <c r="M178" t="str">
        <f>TEXT(Table1[[#This Row],[Order date ]],"dddd")</f>
        <v>الجمعة</v>
      </c>
      <c r="N178">
        <f>MONTH(Table1[[#This Row],[Order date ]])</f>
        <v>6</v>
      </c>
      <c r="O178" t="str">
        <f>TEXT(Table1[[#This Row],[Order date ]],"mmm")</f>
        <v>يونيو</v>
      </c>
      <c r="P178">
        <f>ROUNDUP(Table1[[#This Row],[month]]/3,0)</f>
        <v>2</v>
      </c>
      <c r="Q178" t="str">
        <f>"Q"&amp;ROUNDUP(Table1[[#This Row],[month]]/3,0)</f>
        <v>Q2</v>
      </c>
    </row>
    <row r="179" spans="5:17" x14ac:dyDescent="0.25">
      <c r="E179">
        <v>175</v>
      </c>
      <c r="F179" t="s">
        <v>28</v>
      </c>
      <c r="G179" t="s">
        <v>43</v>
      </c>
      <c r="H179" t="s">
        <v>15</v>
      </c>
      <c r="I179">
        <v>1568</v>
      </c>
      <c r="J179">
        <v>141</v>
      </c>
      <c r="K179" s="8">
        <v>45101</v>
      </c>
      <c r="L179">
        <f>Table1[[#This Row],[unit price]]*Table1[[#This Row],[Units]]</f>
        <v>221088</v>
      </c>
      <c r="M179" t="str">
        <f>TEXT(Table1[[#This Row],[Order date ]],"dddd")</f>
        <v>السبت</v>
      </c>
      <c r="N179">
        <f>MONTH(Table1[[#This Row],[Order date ]])</f>
        <v>6</v>
      </c>
      <c r="O179" t="str">
        <f>TEXT(Table1[[#This Row],[Order date ]],"mmm")</f>
        <v>يونيو</v>
      </c>
      <c r="P179">
        <f>ROUNDUP(Table1[[#This Row],[month]]/3,0)</f>
        <v>2</v>
      </c>
      <c r="Q179" t="str">
        <f>"Q"&amp;ROUNDUP(Table1[[#This Row],[month]]/3,0)</f>
        <v>Q2</v>
      </c>
    </row>
    <row r="180" spans="5:17" x14ac:dyDescent="0.25">
      <c r="E180">
        <v>176</v>
      </c>
      <c r="F180" t="s">
        <v>30</v>
      </c>
      <c r="G180" t="s">
        <v>40</v>
      </c>
      <c r="H180" t="s">
        <v>13</v>
      </c>
      <c r="I180">
        <v>3388</v>
      </c>
      <c r="J180">
        <v>123</v>
      </c>
      <c r="K180" s="8">
        <v>45102</v>
      </c>
      <c r="L180">
        <f>Table1[[#This Row],[unit price]]*Table1[[#This Row],[Units]]</f>
        <v>416724</v>
      </c>
      <c r="M180" t="str">
        <f>TEXT(Table1[[#This Row],[Order date ]],"dddd")</f>
        <v>الأحد</v>
      </c>
      <c r="N180">
        <f>MONTH(Table1[[#This Row],[Order date ]])</f>
        <v>6</v>
      </c>
      <c r="O180" t="str">
        <f>TEXT(Table1[[#This Row],[Order date ]],"mmm")</f>
        <v>يونيو</v>
      </c>
      <c r="P180">
        <f>ROUNDUP(Table1[[#This Row],[month]]/3,0)</f>
        <v>2</v>
      </c>
      <c r="Q180" t="str">
        <f>"Q"&amp;ROUNDUP(Table1[[#This Row],[month]]/3,0)</f>
        <v>Q2</v>
      </c>
    </row>
    <row r="181" spans="5:17" x14ac:dyDescent="0.25">
      <c r="E181">
        <v>177</v>
      </c>
      <c r="F181" t="s">
        <v>36</v>
      </c>
      <c r="G181" t="s">
        <v>37</v>
      </c>
      <c r="H181" t="s">
        <v>17</v>
      </c>
      <c r="I181">
        <v>623</v>
      </c>
      <c r="J181">
        <v>51</v>
      </c>
      <c r="K181" s="8">
        <v>45103</v>
      </c>
      <c r="L181">
        <f>Table1[[#This Row],[unit price]]*Table1[[#This Row],[Units]]</f>
        <v>31773</v>
      </c>
      <c r="M181" t="str">
        <f>TEXT(Table1[[#This Row],[Order date ]],"dddd")</f>
        <v>الإثنين</v>
      </c>
      <c r="N181">
        <f>MONTH(Table1[[#This Row],[Order date ]])</f>
        <v>6</v>
      </c>
      <c r="O181" t="str">
        <f>TEXT(Table1[[#This Row],[Order date ]],"mmm")</f>
        <v>يونيو</v>
      </c>
      <c r="P181">
        <f>ROUNDUP(Table1[[#This Row],[month]]/3,0)</f>
        <v>2</v>
      </c>
      <c r="Q181" t="str">
        <f>"Q"&amp;ROUNDUP(Table1[[#This Row],[month]]/3,0)</f>
        <v>Q2</v>
      </c>
    </row>
    <row r="182" spans="5:17" x14ac:dyDescent="0.25">
      <c r="E182">
        <v>178</v>
      </c>
      <c r="F182" t="s">
        <v>32</v>
      </c>
      <c r="G182" t="s">
        <v>38</v>
      </c>
      <c r="H182" t="s">
        <v>2</v>
      </c>
      <c r="I182">
        <v>10073</v>
      </c>
      <c r="J182">
        <v>120</v>
      </c>
      <c r="K182" s="8">
        <v>45104</v>
      </c>
      <c r="L182">
        <f>Table1[[#This Row],[unit price]]*Table1[[#This Row],[Units]]</f>
        <v>1208760</v>
      </c>
      <c r="M182" t="str">
        <f>TEXT(Table1[[#This Row],[Order date ]],"dddd")</f>
        <v>الثلاثاء</v>
      </c>
      <c r="N182">
        <f>MONTH(Table1[[#This Row],[Order date ]])</f>
        <v>6</v>
      </c>
      <c r="O182" t="str">
        <f>TEXT(Table1[[#This Row],[Order date ]],"mmm")</f>
        <v>يونيو</v>
      </c>
      <c r="P182">
        <f>ROUNDUP(Table1[[#This Row],[month]]/3,0)</f>
        <v>2</v>
      </c>
      <c r="Q182" t="str">
        <f>"Q"&amp;ROUNDUP(Table1[[#This Row],[month]]/3,0)</f>
        <v>Q2</v>
      </c>
    </row>
    <row r="183" spans="5:17" x14ac:dyDescent="0.25">
      <c r="E183">
        <v>179</v>
      </c>
      <c r="F183" t="s">
        <v>29</v>
      </c>
      <c r="G183" t="s">
        <v>43</v>
      </c>
      <c r="H183" t="s">
        <v>19</v>
      </c>
      <c r="I183">
        <v>1561</v>
      </c>
      <c r="J183">
        <v>27</v>
      </c>
      <c r="K183" s="8">
        <v>45105</v>
      </c>
      <c r="L183">
        <f>Table1[[#This Row],[unit price]]*Table1[[#This Row],[Units]]</f>
        <v>42147</v>
      </c>
      <c r="M183" t="str">
        <f>TEXT(Table1[[#This Row],[Order date ]],"dddd")</f>
        <v>الأربعاء</v>
      </c>
      <c r="N183">
        <f>MONTH(Table1[[#This Row],[Order date ]])</f>
        <v>6</v>
      </c>
      <c r="O183" t="str">
        <f>TEXT(Table1[[#This Row],[Order date ]],"mmm")</f>
        <v>يونيو</v>
      </c>
      <c r="P183">
        <f>ROUNDUP(Table1[[#This Row],[month]]/3,0)</f>
        <v>2</v>
      </c>
      <c r="Q183" t="str">
        <f>"Q"&amp;ROUNDUP(Table1[[#This Row],[month]]/3,0)</f>
        <v>Q2</v>
      </c>
    </row>
    <row r="184" spans="5:17" x14ac:dyDescent="0.25">
      <c r="E184">
        <v>180</v>
      </c>
      <c r="F184" t="s">
        <v>3</v>
      </c>
      <c r="G184" t="s">
        <v>38</v>
      </c>
      <c r="H184" t="s">
        <v>20</v>
      </c>
      <c r="I184">
        <v>11522</v>
      </c>
      <c r="J184">
        <v>204</v>
      </c>
      <c r="K184" s="8">
        <v>45106</v>
      </c>
      <c r="L184">
        <f>Table1[[#This Row],[unit price]]*Table1[[#This Row],[Units]]</f>
        <v>2350488</v>
      </c>
      <c r="M184" t="str">
        <f>TEXT(Table1[[#This Row],[Order date ]],"dddd")</f>
        <v>الخميس</v>
      </c>
      <c r="N184">
        <f>MONTH(Table1[[#This Row],[Order date ]])</f>
        <v>6</v>
      </c>
      <c r="O184" t="str">
        <f>TEXT(Table1[[#This Row],[Order date ]],"mmm")</f>
        <v>يونيو</v>
      </c>
      <c r="P184">
        <f>ROUNDUP(Table1[[#This Row],[month]]/3,0)</f>
        <v>2</v>
      </c>
      <c r="Q184" t="str">
        <f>"Q"&amp;ROUNDUP(Table1[[#This Row],[month]]/3,0)</f>
        <v>Q2</v>
      </c>
    </row>
    <row r="185" spans="5:17" x14ac:dyDescent="0.25">
      <c r="E185">
        <v>181</v>
      </c>
      <c r="F185" t="s">
        <v>32</v>
      </c>
      <c r="G185" t="s">
        <v>37</v>
      </c>
      <c r="H185" t="s">
        <v>6</v>
      </c>
      <c r="I185">
        <v>2317</v>
      </c>
      <c r="J185">
        <v>123</v>
      </c>
      <c r="K185" s="8">
        <v>45107</v>
      </c>
      <c r="L185">
        <f>Table1[[#This Row],[unit price]]*Table1[[#This Row],[Units]]</f>
        <v>284991</v>
      </c>
      <c r="M185" t="str">
        <f>TEXT(Table1[[#This Row],[Order date ]],"dddd")</f>
        <v>الجمعة</v>
      </c>
      <c r="N185">
        <f>MONTH(Table1[[#This Row],[Order date ]])</f>
        <v>6</v>
      </c>
      <c r="O185" t="str">
        <f>TEXT(Table1[[#This Row],[Order date ]],"mmm")</f>
        <v>يونيو</v>
      </c>
      <c r="P185">
        <f>ROUNDUP(Table1[[#This Row],[month]]/3,0)</f>
        <v>2</v>
      </c>
      <c r="Q185" t="str">
        <f>"Q"&amp;ROUNDUP(Table1[[#This Row],[month]]/3,0)</f>
        <v>Q2</v>
      </c>
    </row>
    <row r="186" spans="5:17" x14ac:dyDescent="0.25">
      <c r="E186">
        <v>182</v>
      </c>
      <c r="F186" t="s">
        <v>35</v>
      </c>
      <c r="G186" t="s">
        <v>40</v>
      </c>
      <c r="H186" t="s">
        <v>21</v>
      </c>
      <c r="I186">
        <v>3059</v>
      </c>
      <c r="J186">
        <v>27</v>
      </c>
      <c r="K186" s="8">
        <v>45108</v>
      </c>
      <c r="L186">
        <f>Table1[[#This Row],[unit price]]*Table1[[#This Row],[Units]]</f>
        <v>82593</v>
      </c>
      <c r="M186" t="str">
        <f>TEXT(Table1[[#This Row],[Order date ]],"dddd")</f>
        <v>السبت</v>
      </c>
      <c r="N186">
        <f>MONTH(Table1[[#This Row],[Order date ]])</f>
        <v>7</v>
      </c>
      <c r="O186" t="str">
        <f>TEXT(Table1[[#This Row],[Order date ]],"mmm")</f>
        <v>يوليو</v>
      </c>
      <c r="P186">
        <f>ROUNDUP(Table1[[#This Row],[month]]/3,0)</f>
        <v>3</v>
      </c>
      <c r="Q186" t="str">
        <f>"Q"&amp;ROUNDUP(Table1[[#This Row],[month]]/3,0)</f>
        <v>Q3</v>
      </c>
    </row>
    <row r="187" spans="5:17" x14ac:dyDescent="0.25">
      <c r="E187">
        <v>183</v>
      </c>
      <c r="F187" t="s">
        <v>30</v>
      </c>
      <c r="G187" t="s">
        <v>40</v>
      </c>
      <c r="H187" t="s">
        <v>19</v>
      </c>
      <c r="I187">
        <v>2324</v>
      </c>
      <c r="J187">
        <v>177</v>
      </c>
      <c r="K187" s="8">
        <v>45109</v>
      </c>
      <c r="L187">
        <f>Table1[[#This Row],[unit price]]*Table1[[#This Row],[Units]]</f>
        <v>411348</v>
      </c>
      <c r="M187" t="str">
        <f>TEXT(Table1[[#This Row],[Order date ]],"dddd")</f>
        <v>الأحد</v>
      </c>
      <c r="N187">
        <f>MONTH(Table1[[#This Row],[Order date ]])</f>
        <v>7</v>
      </c>
      <c r="O187" t="str">
        <f>TEXT(Table1[[#This Row],[Order date ]],"mmm")</f>
        <v>يوليو</v>
      </c>
      <c r="P187">
        <f>ROUNDUP(Table1[[#This Row],[month]]/3,0)</f>
        <v>3</v>
      </c>
      <c r="Q187" t="str">
        <f>"Q"&amp;ROUNDUP(Table1[[#This Row],[month]]/3,0)</f>
        <v>Q3</v>
      </c>
    </row>
    <row r="188" spans="5:17" x14ac:dyDescent="0.25">
      <c r="E188">
        <v>184</v>
      </c>
      <c r="F188" t="s">
        <v>34</v>
      </c>
      <c r="G188" t="s">
        <v>43</v>
      </c>
      <c r="H188" t="s">
        <v>19</v>
      </c>
      <c r="I188">
        <v>4956</v>
      </c>
      <c r="J188">
        <v>171</v>
      </c>
      <c r="K188" s="8">
        <v>45110</v>
      </c>
      <c r="L188">
        <f>Table1[[#This Row],[unit price]]*Table1[[#This Row],[Units]]</f>
        <v>847476</v>
      </c>
      <c r="M188" t="str">
        <f>TEXT(Table1[[#This Row],[Order date ]],"dddd")</f>
        <v>الإثنين</v>
      </c>
      <c r="N188">
        <f>MONTH(Table1[[#This Row],[Order date ]])</f>
        <v>7</v>
      </c>
      <c r="O188" t="str">
        <f>TEXT(Table1[[#This Row],[Order date ]],"mmm")</f>
        <v>يوليو</v>
      </c>
      <c r="P188">
        <f>ROUNDUP(Table1[[#This Row],[month]]/3,0)</f>
        <v>3</v>
      </c>
      <c r="Q188" t="str">
        <f>"Q"&amp;ROUNDUP(Table1[[#This Row],[month]]/3,0)</f>
        <v>Q3</v>
      </c>
    </row>
    <row r="189" spans="5:17" x14ac:dyDescent="0.25">
      <c r="E189">
        <v>185</v>
      </c>
      <c r="F189" t="s">
        <v>35</v>
      </c>
      <c r="G189" t="s">
        <v>39</v>
      </c>
      <c r="H189" t="s">
        <v>12</v>
      </c>
      <c r="I189">
        <v>5355</v>
      </c>
      <c r="J189">
        <v>204</v>
      </c>
      <c r="K189" s="8">
        <v>45111</v>
      </c>
      <c r="L189">
        <f>Table1[[#This Row],[unit price]]*Table1[[#This Row],[Units]]</f>
        <v>1092420</v>
      </c>
      <c r="M189" t="str">
        <f>TEXT(Table1[[#This Row],[Order date ]],"dddd")</f>
        <v>الثلاثاء</v>
      </c>
      <c r="N189">
        <f>MONTH(Table1[[#This Row],[Order date ]])</f>
        <v>7</v>
      </c>
      <c r="O189" t="str">
        <f>TEXT(Table1[[#This Row],[Order date ]],"mmm")</f>
        <v>يوليو</v>
      </c>
      <c r="P189">
        <f>ROUNDUP(Table1[[#This Row],[month]]/3,0)</f>
        <v>3</v>
      </c>
      <c r="Q189" t="str">
        <f>"Q"&amp;ROUNDUP(Table1[[#This Row],[month]]/3,0)</f>
        <v>Q3</v>
      </c>
    </row>
    <row r="190" spans="5:17" x14ac:dyDescent="0.25">
      <c r="E190">
        <v>186</v>
      </c>
      <c r="F190" t="s">
        <v>34</v>
      </c>
      <c r="G190" t="s">
        <v>39</v>
      </c>
      <c r="H190" t="s">
        <v>7</v>
      </c>
      <c r="I190">
        <v>7259</v>
      </c>
      <c r="J190">
        <v>276</v>
      </c>
      <c r="K190" s="8">
        <v>45112</v>
      </c>
      <c r="L190">
        <f>Table1[[#This Row],[unit price]]*Table1[[#This Row],[Units]]</f>
        <v>2003484</v>
      </c>
      <c r="M190" t="str">
        <f>TEXT(Table1[[#This Row],[Order date ]],"dddd")</f>
        <v>الأربعاء</v>
      </c>
      <c r="N190">
        <f>MONTH(Table1[[#This Row],[Order date ]])</f>
        <v>7</v>
      </c>
      <c r="O190" t="str">
        <f>TEXT(Table1[[#This Row],[Order date ]],"mmm")</f>
        <v>يوليو</v>
      </c>
      <c r="P190">
        <f>ROUNDUP(Table1[[#This Row],[month]]/3,0)</f>
        <v>3</v>
      </c>
      <c r="Q190" t="str">
        <f>"Q"&amp;ROUNDUP(Table1[[#This Row],[month]]/3,0)</f>
        <v>Q3</v>
      </c>
    </row>
    <row r="191" spans="5:17" x14ac:dyDescent="0.25">
      <c r="E191">
        <v>187</v>
      </c>
      <c r="F191" t="s">
        <v>29</v>
      </c>
      <c r="G191" t="s">
        <v>40</v>
      </c>
      <c r="H191" t="s">
        <v>19</v>
      </c>
      <c r="I191">
        <v>6279</v>
      </c>
      <c r="J191">
        <v>45</v>
      </c>
      <c r="K191" s="8">
        <v>45113</v>
      </c>
      <c r="L191">
        <f>Table1[[#This Row],[unit price]]*Table1[[#This Row],[Units]]</f>
        <v>282555</v>
      </c>
      <c r="M191" t="str">
        <f>TEXT(Table1[[#This Row],[Order date ]],"dddd")</f>
        <v>الخميس</v>
      </c>
      <c r="N191">
        <f>MONTH(Table1[[#This Row],[Order date ]])</f>
        <v>7</v>
      </c>
      <c r="O191" t="str">
        <f>TEXT(Table1[[#This Row],[Order date ]],"mmm")</f>
        <v>يوليو</v>
      </c>
      <c r="P191">
        <f>ROUNDUP(Table1[[#This Row],[month]]/3,0)</f>
        <v>3</v>
      </c>
      <c r="Q191" t="str">
        <f>"Q"&amp;ROUNDUP(Table1[[#This Row],[month]]/3,0)</f>
        <v>Q3</v>
      </c>
    </row>
    <row r="192" spans="5:17" x14ac:dyDescent="0.25">
      <c r="E192">
        <v>188</v>
      </c>
      <c r="F192" t="s">
        <v>36</v>
      </c>
      <c r="G192" t="s">
        <v>37</v>
      </c>
      <c r="H192" t="s">
        <v>22</v>
      </c>
      <c r="I192">
        <v>2541</v>
      </c>
      <c r="J192">
        <v>45</v>
      </c>
      <c r="K192" s="8">
        <v>45114</v>
      </c>
      <c r="L192">
        <f>Table1[[#This Row],[unit price]]*Table1[[#This Row],[Units]]</f>
        <v>114345</v>
      </c>
      <c r="M192" t="str">
        <f>TEXT(Table1[[#This Row],[Order date ]],"dddd")</f>
        <v>الجمعة</v>
      </c>
      <c r="N192">
        <f>MONTH(Table1[[#This Row],[Order date ]])</f>
        <v>7</v>
      </c>
      <c r="O192" t="str">
        <f>TEXT(Table1[[#This Row],[Order date ]],"mmm")</f>
        <v>يوليو</v>
      </c>
      <c r="P192">
        <f>ROUNDUP(Table1[[#This Row],[month]]/3,0)</f>
        <v>3</v>
      </c>
      <c r="Q192" t="str">
        <f>"Q"&amp;ROUNDUP(Table1[[#This Row],[month]]/3,0)</f>
        <v>Q3</v>
      </c>
    </row>
    <row r="193" spans="5:17" x14ac:dyDescent="0.25">
      <c r="E193">
        <v>189</v>
      </c>
      <c r="F193" t="s">
        <v>32</v>
      </c>
      <c r="G193" t="s">
        <v>45</v>
      </c>
      <c r="H193" t="s">
        <v>20</v>
      </c>
      <c r="I193">
        <v>3864</v>
      </c>
      <c r="J193">
        <v>177</v>
      </c>
      <c r="K193" s="8">
        <v>45115</v>
      </c>
      <c r="L193">
        <f>Table1[[#This Row],[unit price]]*Table1[[#This Row],[Units]]</f>
        <v>683928</v>
      </c>
      <c r="M193" t="str">
        <f>TEXT(Table1[[#This Row],[Order date ]],"dddd")</f>
        <v>السبت</v>
      </c>
      <c r="N193">
        <f>MONTH(Table1[[#This Row],[Order date ]])</f>
        <v>7</v>
      </c>
      <c r="O193" t="str">
        <f>TEXT(Table1[[#This Row],[Order date ]],"mmm")</f>
        <v>يوليو</v>
      </c>
      <c r="P193">
        <f>ROUNDUP(Table1[[#This Row],[month]]/3,0)</f>
        <v>3</v>
      </c>
      <c r="Q193" t="str">
        <f>"Q"&amp;ROUNDUP(Table1[[#This Row],[month]]/3,0)</f>
        <v>Q3</v>
      </c>
    </row>
    <row r="194" spans="5:17" x14ac:dyDescent="0.25">
      <c r="E194">
        <v>190</v>
      </c>
      <c r="F194" t="s">
        <v>33</v>
      </c>
      <c r="G194" t="s">
        <v>38</v>
      </c>
      <c r="H194" t="s">
        <v>6</v>
      </c>
      <c r="I194">
        <v>6146</v>
      </c>
      <c r="J194">
        <v>63</v>
      </c>
      <c r="K194" s="8">
        <v>45116</v>
      </c>
      <c r="L194">
        <f>Table1[[#This Row],[unit price]]*Table1[[#This Row],[Units]]</f>
        <v>387198</v>
      </c>
      <c r="M194" t="str">
        <f>TEXT(Table1[[#This Row],[Order date ]],"dddd")</f>
        <v>الأحد</v>
      </c>
      <c r="N194">
        <f>MONTH(Table1[[#This Row],[Order date ]])</f>
        <v>7</v>
      </c>
      <c r="O194" t="str">
        <f>TEXT(Table1[[#This Row],[Order date ]],"mmm")</f>
        <v>يوليو</v>
      </c>
      <c r="P194">
        <f>ROUNDUP(Table1[[#This Row],[month]]/3,0)</f>
        <v>3</v>
      </c>
      <c r="Q194" t="str">
        <f>"Q"&amp;ROUNDUP(Table1[[#This Row],[month]]/3,0)</f>
        <v>Q3</v>
      </c>
    </row>
    <row r="195" spans="5:17" x14ac:dyDescent="0.25">
      <c r="E195">
        <v>191</v>
      </c>
      <c r="F195" t="s">
        <v>3</v>
      </c>
      <c r="G195" t="s">
        <v>43</v>
      </c>
      <c r="H195" t="s">
        <v>11</v>
      </c>
      <c r="I195">
        <v>2639</v>
      </c>
      <c r="J195">
        <v>204</v>
      </c>
      <c r="K195" s="8">
        <v>45117</v>
      </c>
      <c r="L195">
        <f>Table1[[#This Row],[unit price]]*Table1[[#This Row],[Units]]</f>
        <v>538356</v>
      </c>
      <c r="M195" t="str">
        <f>TEXT(Table1[[#This Row],[Order date ]],"dddd")</f>
        <v>الإثنين</v>
      </c>
      <c r="N195">
        <f>MONTH(Table1[[#This Row],[Order date ]])</f>
        <v>7</v>
      </c>
      <c r="O195" t="str">
        <f>TEXT(Table1[[#This Row],[Order date ]],"mmm")</f>
        <v>يوليو</v>
      </c>
      <c r="P195">
        <f>ROUNDUP(Table1[[#This Row],[month]]/3,0)</f>
        <v>3</v>
      </c>
      <c r="Q195" t="str">
        <f>"Q"&amp;ROUNDUP(Table1[[#This Row],[month]]/3,0)</f>
        <v>Q3</v>
      </c>
    </row>
    <row r="196" spans="5:17" x14ac:dyDescent="0.25">
      <c r="E196">
        <v>192</v>
      </c>
      <c r="F196" t="s">
        <v>29</v>
      </c>
      <c r="G196" t="s">
        <v>40</v>
      </c>
      <c r="H196" t="s">
        <v>15</v>
      </c>
      <c r="I196">
        <v>1890</v>
      </c>
      <c r="J196">
        <v>195</v>
      </c>
      <c r="K196" s="8">
        <v>45118</v>
      </c>
      <c r="L196">
        <f>Table1[[#This Row],[unit price]]*Table1[[#This Row],[Units]]</f>
        <v>368550</v>
      </c>
      <c r="M196" t="str">
        <f>TEXT(Table1[[#This Row],[Order date ]],"dddd")</f>
        <v>الثلاثاء</v>
      </c>
      <c r="N196">
        <f>MONTH(Table1[[#This Row],[Order date ]])</f>
        <v>7</v>
      </c>
      <c r="O196" t="str">
        <f>TEXT(Table1[[#This Row],[Order date ]],"mmm")</f>
        <v>يوليو</v>
      </c>
      <c r="P196">
        <f>ROUNDUP(Table1[[#This Row],[month]]/3,0)</f>
        <v>3</v>
      </c>
      <c r="Q196" t="str">
        <f>"Q"&amp;ROUNDUP(Table1[[#This Row],[month]]/3,0)</f>
        <v>Q3</v>
      </c>
    </row>
    <row r="197" spans="5:17" x14ac:dyDescent="0.25">
      <c r="E197">
        <v>193</v>
      </c>
      <c r="F197" t="s">
        <v>31</v>
      </c>
      <c r="G197" t="s">
        <v>39</v>
      </c>
      <c r="H197" t="s">
        <v>7</v>
      </c>
      <c r="I197">
        <v>1932</v>
      </c>
      <c r="J197">
        <v>369</v>
      </c>
      <c r="K197" s="8">
        <v>45119</v>
      </c>
      <c r="L197">
        <f>Table1[[#This Row],[unit price]]*Table1[[#This Row],[Units]]</f>
        <v>712908</v>
      </c>
      <c r="M197" t="str">
        <f>TEXT(Table1[[#This Row],[Order date ]],"dddd")</f>
        <v>الأربعاء</v>
      </c>
      <c r="N197">
        <f>MONTH(Table1[[#This Row],[Order date ]])</f>
        <v>7</v>
      </c>
      <c r="O197" t="str">
        <f>TEXT(Table1[[#This Row],[Order date ]],"mmm")</f>
        <v>يوليو</v>
      </c>
      <c r="P197">
        <f>ROUNDUP(Table1[[#This Row],[month]]/3,0)</f>
        <v>3</v>
      </c>
      <c r="Q197" t="str">
        <f>"Q"&amp;ROUNDUP(Table1[[#This Row],[month]]/3,0)</f>
        <v>Q3</v>
      </c>
    </row>
    <row r="198" spans="5:17" x14ac:dyDescent="0.25">
      <c r="E198">
        <v>194</v>
      </c>
      <c r="F198" t="s">
        <v>34</v>
      </c>
      <c r="G198" t="s">
        <v>39</v>
      </c>
      <c r="H198" t="s">
        <v>18</v>
      </c>
      <c r="I198">
        <v>6300</v>
      </c>
      <c r="J198">
        <v>42</v>
      </c>
      <c r="K198" s="8">
        <v>45120</v>
      </c>
      <c r="L198">
        <f>Table1[[#This Row],[unit price]]*Table1[[#This Row],[Units]]</f>
        <v>264600</v>
      </c>
      <c r="M198" t="str">
        <f>TEXT(Table1[[#This Row],[Order date ]],"dddd")</f>
        <v>الخميس</v>
      </c>
      <c r="N198">
        <f>MONTH(Table1[[#This Row],[Order date ]])</f>
        <v>7</v>
      </c>
      <c r="O198" t="str">
        <f>TEXT(Table1[[#This Row],[Order date ]],"mmm")</f>
        <v>يوليو</v>
      </c>
      <c r="P198">
        <f>ROUNDUP(Table1[[#This Row],[month]]/3,0)</f>
        <v>3</v>
      </c>
      <c r="Q198" t="str">
        <f>"Q"&amp;ROUNDUP(Table1[[#This Row],[month]]/3,0)</f>
        <v>Q3</v>
      </c>
    </row>
    <row r="199" spans="5:17" x14ac:dyDescent="0.25">
      <c r="E199">
        <v>195</v>
      </c>
      <c r="F199" t="s">
        <v>32</v>
      </c>
      <c r="G199" t="s">
        <v>40</v>
      </c>
      <c r="H199" t="s">
        <v>23</v>
      </c>
      <c r="I199">
        <v>560</v>
      </c>
      <c r="J199">
        <v>81</v>
      </c>
      <c r="K199" s="8">
        <v>45121</v>
      </c>
      <c r="L199">
        <f>Table1[[#This Row],[unit price]]*Table1[[#This Row],[Units]]</f>
        <v>45360</v>
      </c>
      <c r="M199" t="str">
        <f>TEXT(Table1[[#This Row],[Order date ]],"dddd")</f>
        <v>الجمعة</v>
      </c>
      <c r="N199">
        <f>MONTH(Table1[[#This Row],[Order date ]])</f>
        <v>7</v>
      </c>
      <c r="O199" t="str">
        <f>TEXT(Table1[[#This Row],[Order date ]],"mmm")</f>
        <v>يوليو</v>
      </c>
      <c r="P199">
        <f>ROUNDUP(Table1[[#This Row],[month]]/3,0)</f>
        <v>3</v>
      </c>
      <c r="Q199" t="str">
        <f>"Q"&amp;ROUNDUP(Table1[[#This Row],[month]]/3,0)</f>
        <v>Q3</v>
      </c>
    </row>
    <row r="200" spans="5:17" x14ac:dyDescent="0.25">
      <c r="E200">
        <v>196</v>
      </c>
      <c r="F200" t="s">
        <v>3</v>
      </c>
      <c r="G200" t="s">
        <v>40</v>
      </c>
      <c r="H200" t="s">
        <v>19</v>
      </c>
      <c r="I200">
        <v>2856</v>
      </c>
      <c r="J200">
        <v>246</v>
      </c>
      <c r="K200" s="8">
        <v>45122</v>
      </c>
      <c r="L200">
        <f>Table1[[#This Row],[unit price]]*Table1[[#This Row],[Units]]</f>
        <v>702576</v>
      </c>
      <c r="M200" t="str">
        <f>TEXT(Table1[[#This Row],[Order date ]],"dddd")</f>
        <v>السبت</v>
      </c>
      <c r="N200">
        <f>MONTH(Table1[[#This Row],[Order date ]])</f>
        <v>7</v>
      </c>
      <c r="O200" t="str">
        <f>TEXT(Table1[[#This Row],[Order date ]],"mmm")</f>
        <v>يوليو</v>
      </c>
      <c r="P200">
        <f>ROUNDUP(Table1[[#This Row],[month]]/3,0)</f>
        <v>3</v>
      </c>
      <c r="Q200" t="str">
        <f>"Q"&amp;ROUNDUP(Table1[[#This Row],[month]]/3,0)</f>
        <v>Q3</v>
      </c>
    </row>
    <row r="201" spans="5:17" x14ac:dyDescent="0.25">
      <c r="E201">
        <v>197</v>
      </c>
      <c r="F201" t="s">
        <v>3</v>
      </c>
      <c r="G201" t="s">
        <v>39</v>
      </c>
      <c r="H201" t="s">
        <v>10</v>
      </c>
      <c r="I201">
        <v>707</v>
      </c>
      <c r="J201">
        <v>174</v>
      </c>
      <c r="K201" s="8">
        <v>45123</v>
      </c>
      <c r="L201">
        <f>Table1[[#This Row],[unit price]]*Table1[[#This Row],[Units]]</f>
        <v>123018</v>
      </c>
      <c r="M201" t="str">
        <f>TEXT(Table1[[#This Row],[Order date ]],"dddd")</f>
        <v>الأحد</v>
      </c>
      <c r="N201">
        <f>MONTH(Table1[[#This Row],[Order date ]])</f>
        <v>7</v>
      </c>
      <c r="O201" t="str">
        <f>TEXT(Table1[[#This Row],[Order date ]],"mmm")</f>
        <v>يوليو</v>
      </c>
      <c r="P201">
        <f>ROUNDUP(Table1[[#This Row],[month]]/3,0)</f>
        <v>3</v>
      </c>
      <c r="Q201" t="str">
        <f>"Q"&amp;ROUNDUP(Table1[[#This Row],[month]]/3,0)</f>
        <v>Q3</v>
      </c>
    </row>
    <row r="202" spans="5:17" x14ac:dyDescent="0.25">
      <c r="E202">
        <v>198</v>
      </c>
      <c r="F202" t="s">
        <v>29</v>
      </c>
      <c r="G202" t="s">
        <v>45</v>
      </c>
      <c r="H202" t="s">
        <v>23</v>
      </c>
      <c r="I202">
        <v>3598</v>
      </c>
      <c r="J202">
        <v>81</v>
      </c>
      <c r="K202" s="8">
        <v>45124</v>
      </c>
      <c r="L202">
        <f>Table1[[#This Row],[unit price]]*Table1[[#This Row],[Units]]</f>
        <v>291438</v>
      </c>
      <c r="M202" t="str">
        <f>TEXT(Table1[[#This Row],[Order date ]],"dddd")</f>
        <v>الإثنين</v>
      </c>
      <c r="N202">
        <f>MONTH(Table1[[#This Row],[Order date ]])</f>
        <v>7</v>
      </c>
      <c r="O202" t="str">
        <f>TEXT(Table1[[#This Row],[Order date ]],"mmm")</f>
        <v>يوليو</v>
      </c>
      <c r="P202">
        <f>ROUNDUP(Table1[[#This Row],[month]]/3,0)</f>
        <v>3</v>
      </c>
      <c r="Q202" t="str">
        <f>"Q"&amp;ROUNDUP(Table1[[#This Row],[month]]/3,0)</f>
        <v>Q3</v>
      </c>
    </row>
    <row r="203" spans="5:17" x14ac:dyDescent="0.25">
      <c r="E203">
        <v>199</v>
      </c>
      <c r="F203" t="s">
        <v>36</v>
      </c>
      <c r="G203" t="s">
        <v>45</v>
      </c>
      <c r="H203" t="s">
        <v>15</v>
      </c>
      <c r="I203">
        <v>6853</v>
      </c>
      <c r="J203">
        <v>372</v>
      </c>
      <c r="K203" s="8">
        <v>45125</v>
      </c>
      <c r="L203">
        <f>Table1[[#This Row],[unit price]]*Table1[[#This Row],[Units]]</f>
        <v>2549316</v>
      </c>
      <c r="M203" t="str">
        <f>TEXT(Table1[[#This Row],[Order date ]],"dddd")</f>
        <v>الثلاثاء</v>
      </c>
      <c r="N203">
        <f>MONTH(Table1[[#This Row],[Order date ]])</f>
        <v>7</v>
      </c>
      <c r="O203" t="str">
        <f>TEXT(Table1[[#This Row],[Order date ]],"mmm")</f>
        <v>يوليو</v>
      </c>
      <c r="P203">
        <f>ROUNDUP(Table1[[#This Row],[month]]/3,0)</f>
        <v>3</v>
      </c>
      <c r="Q203" t="str">
        <f>"Q"&amp;ROUNDUP(Table1[[#This Row],[month]]/3,0)</f>
        <v>Q3</v>
      </c>
    </row>
    <row r="204" spans="5:17" x14ac:dyDescent="0.25">
      <c r="E204">
        <v>200</v>
      </c>
      <c r="F204" t="s">
        <v>36</v>
      </c>
      <c r="G204" t="s">
        <v>45</v>
      </c>
      <c r="H204" t="s">
        <v>9</v>
      </c>
      <c r="I204">
        <v>4725</v>
      </c>
      <c r="J204">
        <v>174</v>
      </c>
      <c r="K204" s="8">
        <v>45126</v>
      </c>
      <c r="L204">
        <f>Table1[[#This Row],[unit price]]*Table1[[#This Row],[Units]]</f>
        <v>822150</v>
      </c>
      <c r="M204" t="str">
        <f>TEXT(Table1[[#This Row],[Order date ]],"dddd")</f>
        <v>الأربعاء</v>
      </c>
      <c r="N204">
        <f>MONTH(Table1[[#This Row],[Order date ]])</f>
        <v>7</v>
      </c>
      <c r="O204" t="str">
        <f>TEXT(Table1[[#This Row],[Order date ]],"mmm")</f>
        <v>يوليو</v>
      </c>
      <c r="P204">
        <f>ROUNDUP(Table1[[#This Row],[month]]/3,0)</f>
        <v>3</v>
      </c>
      <c r="Q204" t="str">
        <f>"Q"&amp;ROUNDUP(Table1[[#This Row],[month]]/3,0)</f>
        <v>Q3</v>
      </c>
    </row>
    <row r="205" spans="5:17" x14ac:dyDescent="0.25">
      <c r="E205">
        <v>201</v>
      </c>
      <c r="F205" t="s">
        <v>30</v>
      </c>
      <c r="G205" t="s">
        <v>38</v>
      </c>
      <c r="H205" t="s">
        <v>25</v>
      </c>
      <c r="I205">
        <v>10304</v>
      </c>
      <c r="J205">
        <v>84</v>
      </c>
      <c r="K205" s="8">
        <v>45127</v>
      </c>
      <c r="L205">
        <f>Table1[[#This Row],[unit price]]*Table1[[#This Row],[Units]]</f>
        <v>865536</v>
      </c>
      <c r="M205" t="str">
        <f>TEXT(Table1[[#This Row],[Order date ]],"dddd")</f>
        <v>الخميس</v>
      </c>
      <c r="N205">
        <f>MONTH(Table1[[#This Row],[Order date ]])</f>
        <v>7</v>
      </c>
      <c r="O205" t="str">
        <f>TEXT(Table1[[#This Row],[Order date ]],"mmm")</f>
        <v>يوليو</v>
      </c>
      <c r="P205">
        <f>ROUNDUP(Table1[[#This Row],[month]]/3,0)</f>
        <v>3</v>
      </c>
      <c r="Q205" t="str">
        <f>"Q"&amp;ROUNDUP(Table1[[#This Row],[month]]/3,0)</f>
        <v>Q3</v>
      </c>
    </row>
    <row r="206" spans="5:17" x14ac:dyDescent="0.25">
      <c r="E206">
        <v>202</v>
      </c>
      <c r="F206" t="s">
        <v>30</v>
      </c>
      <c r="G206" t="s">
        <v>39</v>
      </c>
      <c r="H206" t="s">
        <v>9</v>
      </c>
      <c r="I206">
        <v>1274</v>
      </c>
      <c r="J206">
        <v>225</v>
      </c>
      <c r="K206" s="8">
        <v>45128</v>
      </c>
      <c r="L206">
        <f>Table1[[#This Row],[unit price]]*Table1[[#This Row],[Units]]</f>
        <v>286650</v>
      </c>
      <c r="M206" t="str">
        <f>TEXT(Table1[[#This Row],[Order date ]],"dddd")</f>
        <v>الجمعة</v>
      </c>
      <c r="N206">
        <f>MONTH(Table1[[#This Row],[Order date ]])</f>
        <v>7</v>
      </c>
      <c r="O206" t="str">
        <f>TEXT(Table1[[#This Row],[Order date ]],"mmm")</f>
        <v>يوليو</v>
      </c>
      <c r="P206">
        <f>ROUNDUP(Table1[[#This Row],[month]]/3,0)</f>
        <v>3</v>
      </c>
      <c r="Q206" t="str">
        <f>"Q"&amp;ROUNDUP(Table1[[#This Row],[month]]/3,0)</f>
        <v>Q3</v>
      </c>
    </row>
    <row r="207" spans="5:17" x14ac:dyDescent="0.25">
      <c r="E207">
        <v>203</v>
      </c>
      <c r="F207" t="s">
        <v>33</v>
      </c>
      <c r="G207" t="s">
        <v>38</v>
      </c>
      <c r="H207" t="s">
        <v>23</v>
      </c>
      <c r="I207">
        <v>1526</v>
      </c>
      <c r="J207">
        <v>105</v>
      </c>
      <c r="K207" s="8">
        <v>45129</v>
      </c>
      <c r="L207">
        <f>Table1[[#This Row],[unit price]]*Table1[[#This Row],[Units]]</f>
        <v>160230</v>
      </c>
      <c r="M207" t="str">
        <f>TEXT(Table1[[#This Row],[Order date ]],"dddd")</f>
        <v>السبت</v>
      </c>
      <c r="N207">
        <f>MONTH(Table1[[#This Row],[Order date ]])</f>
        <v>7</v>
      </c>
      <c r="O207" t="str">
        <f>TEXT(Table1[[#This Row],[Order date ]],"mmm")</f>
        <v>يوليو</v>
      </c>
      <c r="P207">
        <f>ROUNDUP(Table1[[#This Row],[month]]/3,0)</f>
        <v>3</v>
      </c>
      <c r="Q207" t="str">
        <f>"Q"&amp;ROUNDUP(Table1[[#This Row],[month]]/3,0)</f>
        <v>Q3</v>
      </c>
    </row>
    <row r="208" spans="5:17" x14ac:dyDescent="0.25">
      <c r="E208">
        <v>204</v>
      </c>
      <c r="F208" t="s">
        <v>36</v>
      </c>
      <c r="G208" t="s">
        <v>43</v>
      </c>
      <c r="H208" t="s">
        <v>21</v>
      </c>
      <c r="I208">
        <v>3101</v>
      </c>
      <c r="J208">
        <v>225</v>
      </c>
      <c r="K208" s="8">
        <v>45130</v>
      </c>
      <c r="L208">
        <f>Table1[[#This Row],[unit price]]*Table1[[#This Row],[Units]]</f>
        <v>697725</v>
      </c>
      <c r="M208" t="str">
        <f>TEXT(Table1[[#This Row],[Order date ]],"dddd")</f>
        <v>الأحد</v>
      </c>
      <c r="N208">
        <f>MONTH(Table1[[#This Row],[Order date ]])</f>
        <v>7</v>
      </c>
      <c r="O208" t="str">
        <f>TEXT(Table1[[#This Row],[Order date ]],"mmm")</f>
        <v>يوليو</v>
      </c>
      <c r="P208">
        <f>ROUNDUP(Table1[[#This Row],[month]]/3,0)</f>
        <v>3</v>
      </c>
      <c r="Q208" t="str">
        <f>"Q"&amp;ROUNDUP(Table1[[#This Row],[month]]/3,0)</f>
        <v>Q3</v>
      </c>
    </row>
    <row r="209" spans="5:17" x14ac:dyDescent="0.25">
      <c r="E209">
        <v>205</v>
      </c>
      <c r="F209" t="s">
        <v>28</v>
      </c>
      <c r="G209" t="s">
        <v>40</v>
      </c>
      <c r="H209" t="s">
        <v>7</v>
      </c>
      <c r="I209">
        <v>1057</v>
      </c>
      <c r="J209">
        <v>54</v>
      </c>
      <c r="K209" s="8">
        <v>45131</v>
      </c>
      <c r="L209">
        <f>Table1[[#This Row],[unit price]]*Table1[[#This Row],[Units]]</f>
        <v>57078</v>
      </c>
      <c r="M209" t="str">
        <f>TEXT(Table1[[#This Row],[Order date ]],"dddd")</f>
        <v>الإثنين</v>
      </c>
      <c r="N209">
        <f>MONTH(Table1[[#This Row],[Order date ]])</f>
        <v>7</v>
      </c>
      <c r="O209" t="str">
        <f>TEXT(Table1[[#This Row],[Order date ]],"mmm")</f>
        <v>يوليو</v>
      </c>
      <c r="P209">
        <f>ROUNDUP(Table1[[#This Row],[month]]/3,0)</f>
        <v>3</v>
      </c>
      <c r="Q209" t="str">
        <f>"Q"&amp;ROUNDUP(Table1[[#This Row],[month]]/3,0)</f>
        <v>Q3</v>
      </c>
    </row>
    <row r="210" spans="5:17" x14ac:dyDescent="0.25">
      <c r="E210">
        <v>206</v>
      </c>
      <c r="F210" t="s">
        <v>31</v>
      </c>
      <c r="G210" t="s">
        <v>40</v>
      </c>
      <c r="H210" t="s">
        <v>19</v>
      </c>
      <c r="I210">
        <v>5306</v>
      </c>
      <c r="J210">
        <v>0</v>
      </c>
      <c r="K210" s="8">
        <v>45132</v>
      </c>
      <c r="L210">
        <f>Table1[[#This Row],[unit price]]*Table1[[#This Row],[Units]]</f>
        <v>0</v>
      </c>
      <c r="M210" t="str">
        <f>TEXT(Table1[[#This Row],[Order date ]],"dddd")</f>
        <v>الثلاثاء</v>
      </c>
      <c r="N210">
        <f>MONTH(Table1[[#This Row],[Order date ]])</f>
        <v>7</v>
      </c>
      <c r="O210" t="str">
        <f>TEXT(Table1[[#This Row],[Order date ]],"mmm")</f>
        <v>يوليو</v>
      </c>
      <c r="P210">
        <f>ROUNDUP(Table1[[#This Row],[month]]/3,0)</f>
        <v>3</v>
      </c>
      <c r="Q210" t="str">
        <f>"Q"&amp;ROUNDUP(Table1[[#This Row],[month]]/3,0)</f>
        <v>Q3</v>
      </c>
    </row>
    <row r="211" spans="5:17" x14ac:dyDescent="0.25">
      <c r="E211">
        <v>207</v>
      </c>
      <c r="F211" t="s">
        <v>33</v>
      </c>
      <c r="G211" t="s">
        <v>43</v>
      </c>
      <c r="H211" t="s">
        <v>17</v>
      </c>
      <c r="I211">
        <v>4018</v>
      </c>
      <c r="J211">
        <v>171</v>
      </c>
      <c r="K211" s="8">
        <v>45133</v>
      </c>
      <c r="L211">
        <f>Table1[[#This Row],[unit price]]*Table1[[#This Row],[Units]]</f>
        <v>687078</v>
      </c>
      <c r="M211" t="str">
        <f>TEXT(Table1[[#This Row],[Order date ]],"dddd")</f>
        <v>الأربعاء</v>
      </c>
      <c r="N211">
        <f>MONTH(Table1[[#This Row],[Order date ]])</f>
        <v>7</v>
      </c>
      <c r="O211" t="str">
        <f>TEXT(Table1[[#This Row],[Order date ]],"mmm")</f>
        <v>يوليو</v>
      </c>
      <c r="P211">
        <f>ROUNDUP(Table1[[#This Row],[month]]/3,0)</f>
        <v>3</v>
      </c>
      <c r="Q211" t="str">
        <f>"Q"&amp;ROUNDUP(Table1[[#This Row],[month]]/3,0)</f>
        <v>Q3</v>
      </c>
    </row>
    <row r="212" spans="5:17" x14ac:dyDescent="0.25">
      <c r="E212">
        <v>208</v>
      </c>
      <c r="F212" t="s">
        <v>3</v>
      </c>
      <c r="G212" t="s">
        <v>39</v>
      </c>
      <c r="H212" t="s">
        <v>9</v>
      </c>
      <c r="I212">
        <v>938</v>
      </c>
      <c r="J212">
        <v>189</v>
      </c>
      <c r="K212" s="8">
        <v>45134</v>
      </c>
      <c r="L212">
        <f>Table1[[#This Row],[unit price]]*Table1[[#This Row],[Units]]</f>
        <v>177282</v>
      </c>
      <c r="M212" t="str">
        <f>TEXT(Table1[[#This Row],[Order date ]],"dddd")</f>
        <v>الخميس</v>
      </c>
      <c r="N212">
        <f>MONTH(Table1[[#This Row],[Order date ]])</f>
        <v>7</v>
      </c>
      <c r="O212" t="str">
        <f>TEXT(Table1[[#This Row],[Order date ]],"mmm")</f>
        <v>يوليو</v>
      </c>
      <c r="P212">
        <f>ROUNDUP(Table1[[#This Row],[month]]/3,0)</f>
        <v>3</v>
      </c>
      <c r="Q212" t="str">
        <f>"Q"&amp;ROUNDUP(Table1[[#This Row],[month]]/3,0)</f>
        <v>Q3</v>
      </c>
    </row>
    <row r="213" spans="5:17" x14ac:dyDescent="0.25">
      <c r="E213">
        <v>209</v>
      </c>
      <c r="F213" t="s">
        <v>31</v>
      </c>
      <c r="G213" t="s">
        <v>37</v>
      </c>
      <c r="H213" t="s">
        <v>11</v>
      </c>
      <c r="I213">
        <v>1778</v>
      </c>
      <c r="J213">
        <v>270</v>
      </c>
      <c r="K213" s="8">
        <v>45135</v>
      </c>
      <c r="L213">
        <f>Table1[[#This Row],[unit price]]*Table1[[#This Row],[Units]]</f>
        <v>480060</v>
      </c>
      <c r="M213" t="str">
        <f>TEXT(Table1[[#This Row],[Order date ]],"dddd")</f>
        <v>الجمعة</v>
      </c>
      <c r="N213">
        <f>MONTH(Table1[[#This Row],[Order date ]])</f>
        <v>7</v>
      </c>
      <c r="O213" t="str">
        <f>TEXT(Table1[[#This Row],[Order date ]],"mmm")</f>
        <v>يوليو</v>
      </c>
      <c r="P213">
        <f>ROUNDUP(Table1[[#This Row],[month]]/3,0)</f>
        <v>3</v>
      </c>
      <c r="Q213" t="str">
        <f>"Q"&amp;ROUNDUP(Table1[[#This Row],[month]]/3,0)</f>
        <v>Q3</v>
      </c>
    </row>
    <row r="214" spans="5:17" x14ac:dyDescent="0.25">
      <c r="E214">
        <v>210</v>
      </c>
      <c r="F214" t="s">
        <v>32</v>
      </c>
      <c r="G214" t="s">
        <v>43</v>
      </c>
      <c r="H214" t="s">
        <v>23</v>
      </c>
      <c r="I214">
        <v>1638</v>
      </c>
      <c r="J214">
        <v>63</v>
      </c>
      <c r="K214" s="8">
        <v>45136</v>
      </c>
      <c r="L214">
        <f>Table1[[#This Row],[unit price]]*Table1[[#This Row],[Units]]</f>
        <v>103194</v>
      </c>
      <c r="M214" t="str">
        <f>TEXT(Table1[[#This Row],[Order date ]],"dddd")</f>
        <v>السبت</v>
      </c>
      <c r="N214">
        <f>MONTH(Table1[[#This Row],[Order date ]])</f>
        <v>7</v>
      </c>
      <c r="O214" t="str">
        <f>TEXT(Table1[[#This Row],[Order date ]],"mmm")</f>
        <v>يوليو</v>
      </c>
      <c r="P214">
        <f>ROUNDUP(Table1[[#This Row],[month]]/3,0)</f>
        <v>3</v>
      </c>
      <c r="Q214" t="str">
        <f>"Q"&amp;ROUNDUP(Table1[[#This Row],[month]]/3,0)</f>
        <v>Q3</v>
      </c>
    </row>
    <row r="215" spans="5:17" x14ac:dyDescent="0.25">
      <c r="E215">
        <v>211</v>
      </c>
      <c r="F215" t="s">
        <v>30</v>
      </c>
      <c r="G215" t="s">
        <v>37</v>
      </c>
      <c r="H215" t="s">
        <v>18</v>
      </c>
      <c r="I215">
        <v>154</v>
      </c>
      <c r="J215">
        <v>21</v>
      </c>
      <c r="K215" s="8">
        <v>45137</v>
      </c>
      <c r="L215">
        <f>Table1[[#This Row],[unit price]]*Table1[[#This Row],[Units]]</f>
        <v>3234</v>
      </c>
      <c r="M215" t="str">
        <f>TEXT(Table1[[#This Row],[Order date ]],"dddd")</f>
        <v>الأحد</v>
      </c>
      <c r="N215">
        <f>MONTH(Table1[[#This Row],[Order date ]])</f>
        <v>7</v>
      </c>
      <c r="O215" t="str">
        <f>TEXT(Table1[[#This Row],[Order date ]],"mmm")</f>
        <v>يوليو</v>
      </c>
      <c r="P215">
        <f>ROUNDUP(Table1[[#This Row],[month]]/3,0)</f>
        <v>3</v>
      </c>
      <c r="Q215" t="str">
        <f>"Q"&amp;ROUNDUP(Table1[[#This Row],[month]]/3,0)</f>
        <v>Q3</v>
      </c>
    </row>
    <row r="216" spans="5:17" x14ac:dyDescent="0.25">
      <c r="E216">
        <v>212</v>
      </c>
      <c r="F216" t="s">
        <v>31</v>
      </c>
      <c r="G216" t="s">
        <v>40</v>
      </c>
      <c r="H216" t="s">
        <v>15</v>
      </c>
      <c r="I216">
        <v>9835</v>
      </c>
      <c r="J216">
        <v>207</v>
      </c>
      <c r="K216" s="8">
        <v>45138</v>
      </c>
      <c r="L216">
        <f>Table1[[#This Row],[unit price]]*Table1[[#This Row],[Units]]</f>
        <v>2035845</v>
      </c>
      <c r="M216" t="str">
        <f>TEXT(Table1[[#This Row],[Order date ]],"dddd")</f>
        <v>الإثنين</v>
      </c>
      <c r="N216">
        <f>MONTH(Table1[[#This Row],[Order date ]])</f>
        <v>7</v>
      </c>
      <c r="O216" t="str">
        <f>TEXT(Table1[[#This Row],[Order date ]],"mmm")</f>
        <v>يوليو</v>
      </c>
      <c r="P216">
        <f>ROUNDUP(Table1[[#This Row],[month]]/3,0)</f>
        <v>3</v>
      </c>
      <c r="Q216" t="str">
        <f>"Q"&amp;ROUNDUP(Table1[[#This Row],[month]]/3,0)</f>
        <v>Q3</v>
      </c>
    </row>
    <row r="217" spans="5:17" x14ac:dyDescent="0.25">
      <c r="E217">
        <v>213</v>
      </c>
      <c r="F217" t="s">
        <v>3</v>
      </c>
      <c r="G217" t="s">
        <v>40</v>
      </c>
      <c r="H217" t="s">
        <v>13</v>
      </c>
      <c r="I217">
        <v>7273</v>
      </c>
      <c r="J217">
        <v>96</v>
      </c>
      <c r="K217" s="8">
        <v>45139</v>
      </c>
      <c r="L217">
        <f>Table1[[#This Row],[unit price]]*Table1[[#This Row],[Units]]</f>
        <v>698208</v>
      </c>
      <c r="M217" t="str">
        <f>TEXT(Table1[[#This Row],[Order date ]],"dddd")</f>
        <v>الثلاثاء</v>
      </c>
      <c r="N217">
        <f>MONTH(Table1[[#This Row],[Order date ]])</f>
        <v>8</v>
      </c>
      <c r="O217" t="str">
        <f>TEXT(Table1[[#This Row],[Order date ]],"mmm")</f>
        <v>أغسطس</v>
      </c>
      <c r="P217">
        <f>ROUNDUP(Table1[[#This Row],[month]]/3,0)</f>
        <v>3</v>
      </c>
      <c r="Q217" t="str">
        <f>"Q"&amp;ROUNDUP(Table1[[#This Row],[month]]/3,0)</f>
        <v>Q3</v>
      </c>
    </row>
    <row r="218" spans="5:17" x14ac:dyDescent="0.25">
      <c r="E218">
        <v>214</v>
      </c>
      <c r="F218" t="s">
        <v>33</v>
      </c>
      <c r="G218" t="s">
        <v>43</v>
      </c>
      <c r="H218" t="s">
        <v>15</v>
      </c>
      <c r="I218">
        <v>6909</v>
      </c>
      <c r="J218">
        <v>81</v>
      </c>
      <c r="K218" s="8">
        <v>45140</v>
      </c>
      <c r="L218">
        <f>Table1[[#This Row],[unit price]]*Table1[[#This Row],[Units]]</f>
        <v>559629</v>
      </c>
      <c r="M218" t="str">
        <f>TEXT(Table1[[#This Row],[Order date ]],"dddd")</f>
        <v>الأربعاء</v>
      </c>
      <c r="N218">
        <f>MONTH(Table1[[#This Row],[Order date ]])</f>
        <v>8</v>
      </c>
      <c r="O218" t="str">
        <f>TEXT(Table1[[#This Row],[Order date ]],"mmm")</f>
        <v>أغسطس</v>
      </c>
      <c r="P218">
        <f>ROUNDUP(Table1[[#This Row],[month]]/3,0)</f>
        <v>3</v>
      </c>
      <c r="Q218" t="str">
        <f>"Q"&amp;ROUNDUP(Table1[[#This Row],[month]]/3,0)</f>
        <v>Q3</v>
      </c>
    </row>
    <row r="219" spans="5:17" x14ac:dyDescent="0.25">
      <c r="E219">
        <v>215</v>
      </c>
      <c r="F219" t="s">
        <v>3</v>
      </c>
      <c r="G219" t="s">
        <v>43</v>
      </c>
      <c r="H219" t="s">
        <v>17</v>
      </c>
      <c r="I219">
        <v>3920</v>
      </c>
      <c r="J219">
        <v>306</v>
      </c>
      <c r="K219" s="8">
        <v>45141</v>
      </c>
      <c r="L219">
        <f>Table1[[#This Row],[unit price]]*Table1[[#This Row],[Units]]</f>
        <v>1199520</v>
      </c>
      <c r="M219" t="str">
        <f>TEXT(Table1[[#This Row],[Order date ]],"dddd")</f>
        <v>الخميس</v>
      </c>
      <c r="N219">
        <f>MONTH(Table1[[#This Row],[Order date ]])</f>
        <v>8</v>
      </c>
      <c r="O219" t="str">
        <f>TEXT(Table1[[#This Row],[Order date ]],"mmm")</f>
        <v>أغسطس</v>
      </c>
      <c r="P219">
        <f>ROUNDUP(Table1[[#This Row],[month]]/3,0)</f>
        <v>3</v>
      </c>
      <c r="Q219" t="str">
        <f>"Q"&amp;ROUNDUP(Table1[[#This Row],[month]]/3,0)</f>
        <v>Q3</v>
      </c>
    </row>
    <row r="220" spans="5:17" x14ac:dyDescent="0.25">
      <c r="E220">
        <v>216</v>
      </c>
      <c r="F220" t="s">
        <v>35</v>
      </c>
      <c r="G220" t="s">
        <v>43</v>
      </c>
      <c r="H220" t="s">
        <v>14</v>
      </c>
      <c r="I220">
        <v>4858</v>
      </c>
      <c r="J220">
        <v>279</v>
      </c>
      <c r="K220" s="8">
        <v>45142</v>
      </c>
      <c r="L220">
        <f>Table1[[#This Row],[unit price]]*Table1[[#This Row],[Units]]</f>
        <v>1355382</v>
      </c>
      <c r="M220" t="str">
        <f>TEXT(Table1[[#This Row],[Order date ]],"dddd")</f>
        <v>الجمعة</v>
      </c>
      <c r="N220">
        <f>MONTH(Table1[[#This Row],[Order date ]])</f>
        <v>8</v>
      </c>
      <c r="O220" t="str">
        <f>TEXT(Table1[[#This Row],[Order date ]],"mmm")</f>
        <v>أغسطس</v>
      </c>
      <c r="P220">
        <f>ROUNDUP(Table1[[#This Row],[month]]/3,0)</f>
        <v>3</v>
      </c>
      <c r="Q220" t="str">
        <f>"Q"&amp;ROUNDUP(Table1[[#This Row],[month]]/3,0)</f>
        <v>Q3</v>
      </c>
    </row>
    <row r="221" spans="5:17" x14ac:dyDescent="0.25">
      <c r="E221">
        <v>217</v>
      </c>
      <c r="F221" t="s">
        <v>28</v>
      </c>
      <c r="G221" t="s">
        <v>37</v>
      </c>
      <c r="H221" t="s">
        <v>2</v>
      </c>
      <c r="I221">
        <v>3549</v>
      </c>
      <c r="J221">
        <v>3</v>
      </c>
      <c r="K221" s="8">
        <v>45143</v>
      </c>
      <c r="L221">
        <f>Table1[[#This Row],[unit price]]*Table1[[#This Row],[Units]]</f>
        <v>10647</v>
      </c>
      <c r="M221" t="str">
        <f>TEXT(Table1[[#This Row],[Order date ]],"dddd")</f>
        <v>السبت</v>
      </c>
      <c r="N221">
        <f>MONTH(Table1[[#This Row],[Order date ]])</f>
        <v>8</v>
      </c>
      <c r="O221" t="str">
        <f>TEXT(Table1[[#This Row],[Order date ]],"mmm")</f>
        <v>أغسطس</v>
      </c>
      <c r="P221">
        <f>ROUNDUP(Table1[[#This Row],[month]]/3,0)</f>
        <v>3</v>
      </c>
      <c r="Q221" t="str">
        <f>"Q"&amp;ROUNDUP(Table1[[#This Row],[month]]/3,0)</f>
        <v>Q3</v>
      </c>
    </row>
    <row r="222" spans="5:17" x14ac:dyDescent="0.25">
      <c r="E222">
        <v>218</v>
      </c>
      <c r="F222" t="s">
        <v>31</v>
      </c>
      <c r="G222" t="s">
        <v>43</v>
      </c>
      <c r="H222" t="s">
        <v>20</v>
      </c>
      <c r="I222">
        <v>966</v>
      </c>
      <c r="J222">
        <v>198</v>
      </c>
      <c r="K222" s="8">
        <v>45144</v>
      </c>
      <c r="L222">
        <f>Table1[[#This Row],[unit price]]*Table1[[#This Row],[Units]]</f>
        <v>191268</v>
      </c>
      <c r="M222" t="str">
        <f>TEXT(Table1[[#This Row],[Order date ]],"dddd")</f>
        <v>الأحد</v>
      </c>
      <c r="N222">
        <f>MONTH(Table1[[#This Row],[Order date ]])</f>
        <v>8</v>
      </c>
      <c r="O222" t="str">
        <f>TEXT(Table1[[#This Row],[Order date ]],"mmm")</f>
        <v>أغسطس</v>
      </c>
      <c r="P222">
        <f>ROUNDUP(Table1[[#This Row],[month]]/3,0)</f>
        <v>3</v>
      </c>
      <c r="Q222" t="str">
        <f>"Q"&amp;ROUNDUP(Table1[[#This Row],[month]]/3,0)</f>
        <v>Q3</v>
      </c>
    </row>
    <row r="223" spans="5:17" x14ac:dyDescent="0.25">
      <c r="E223">
        <v>219</v>
      </c>
      <c r="F223" t="s">
        <v>33</v>
      </c>
      <c r="G223" t="s">
        <v>43</v>
      </c>
      <c r="H223" t="s">
        <v>11</v>
      </c>
      <c r="I223">
        <v>385</v>
      </c>
      <c r="J223">
        <v>249</v>
      </c>
      <c r="K223" s="8">
        <v>45145</v>
      </c>
      <c r="L223">
        <f>Table1[[#This Row],[unit price]]*Table1[[#This Row],[Units]]</f>
        <v>95865</v>
      </c>
      <c r="M223" t="str">
        <f>TEXT(Table1[[#This Row],[Order date ]],"dddd")</f>
        <v>الإثنين</v>
      </c>
      <c r="N223">
        <f>MONTH(Table1[[#This Row],[Order date ]])</f>
        <v>8</v>
      </c>
      <c r="O223" t="str">
        <f>TEXT(Table1[[#This Row],[Order date ]],"mmm")</f>
        <v>أغسطس</v>
      </c>
      <c r="P223">
        <f>ROUNDUP(Table1[[#This Row],[month]]/3,0)</f>
        <v>3</v>
      </c>
      <c r="Q223" t="str">
        <f>"Q"&amp;ROUNDUP(Table1[[#This Row],[month]]/3,0)</f>
        <v>Q3</v>
      </c>
    </row>
    <row r="224" spans="5:17" x14ac:dyDescent="0.25">
      <c r="E224">
        <v>220</v>
      </c>
      <c r="F224" t="s">
        <v>32</v>
      </c>
      <c r="G224" t="s">
        <v>39</v>
      </c>
      <c r="H224" t="s">
        <v>9</v>
      </c>
      <c r="I224">
        <v>2219</v>
      </c>
      <c r="J224">
        <v>75</v>
      </c>
      <c r="K224" s="8">
        <v>45146</v>
      </c>
      <c r="L224">
        <f>Table1[[#This Row],[unit price]]*Table1[[#This Row],[Units]]</f>
        <v>166425</v>
      </c>
      <c r="M224" t="str">
        <f>TEXT(Table1[[#This Row],[Order date ]],"dddd")</f>
        <v>الثلاثاء</v>
      </c>
      <c r="N224">
        <f>MONTH(Table1[[#This Row],[Order date ]])</f>
        <v>8</v>
      </c>
      <c r="O224" t="str">
        <f>TEXT(Table1[[#This Row],[Order date ]],"mmm")</f>
        <v>أغسطس</v>
      </c>
      <c r="P224">
        <f>ROUNDUP(Table1[[#This Row],[month]]/3,0)</f>
        <v>3</v>
      </c>
      <c r="Q224" t="str">
        <f>"Q"&amp;ROUNDUP(Table1[[#This Row],[month]]/3,0)</f>
        <v>Q3</v>
      </c>
    </row>
    <row r="225" spans="5:17" x14ac:dyDescent="0.25">
      <c r="E225">
        <v>221</v>
      </c>
      <c r="F225" t="s">
        <v>3</v>
      </c>
      <c r="G225" t="s">
        <v>38</v>
      </c>
      <c r="H225" t="s">
        <v>25</v>
      </c>
      <c r="I225">
        <v>2954</v>
      </c>
      <c r="J225">
        <v>189</v>
      </c>
      <c r="K225" s="8">
        <v>45147</v>
      </c>
      <c r="L225">
        <f>Table1[[#This Row],[unit price]]*Table1[[#This Row],[Units]]</f>
        <v>558306</v>
      </c>
      <c r="M225" t="str">
        <f>TEXT(Table1[[#This Row],[Order date ]],"dddd")</f>
        <v>الأربعاء</v>
      </c>
      <c r="N225">
        <f>MONTH(Table1[[#This Row],[Order date ]])</f>
        <v>8</v>
      </c>
      <c r="O225" t="str">
        <f>TEXT(Table1[[#This Row],[Order date ]],"mmm")</f>
        <v>أغسطس</v>
      </c>
      <c r="P225">
        <f>ROUNDUP(Table1[[#This Row],[month]]/3,0)</f>
        <v>3</v>
      </c>
      <c r="Q225" t="str">
        <f>"Q"&amp;ROUNDUP(Table1[[#This Row],[month]]/3,0)</f>
        <v>Q3</v>
      </c>
    </row>
    <row r="226" spans="5:17" x14ac:dyDescent="0.25">
      <c r="E226">
        <v>222</v>
      </c>
      <c r="F226" t="s">
        <v>31</v>
      </c>
      <c r="G226" t="s">
        <v>38</v>
      </c>
      <c r="H226" t="s">
        <v>25</v>
      </c>
      <c r="I226">
        <v>280</v>
      </c>
      <c r="J226">
        <v>87</v>
      </c>
      <c r="K226" s="8">
        <v>45148</v>
      </c>
      <c r="L226">
        <f>Table1[[#This Row],[unit price]]*Table1[[#This Row],[Units]]</f>
        <v>24360</v>
      </c>
      <c r="M226" t="str">
        <f>TEXT(Table1[[#This Row],[Order date ]],"dddd")</f>
        <v>الخميس</v>
      </c>
      <c r="N226">
        <f>MONTH(Table1[[#This Row],[Order date ]])</f>
        <v>8</v>
      </c>
      <c r="O226" t="str">
        <f>TEXT(Table1[[#This Row],[Order date ]],"mmm")</f>
        <v>أغسطس</v>
      </c>
      <c r="P226">
        <f>ROUNDUP(Table1[[#This Row],[month]]/3,0)</f>
        <v>3</v>
      </c>
      <c r="Q226" t="str">
        <f>"Q"&amp;ROUNDUP(Table1[[#This Row],[month]]/3,0)</f>
        <v>Q3</v>
      </c>
    </row>
    <row r="227" spans="5:17" x14ac:dyDescent="0.25">
      <c r="E227">
        <v>223</v>
      </c>
      <c r="F227" t="s">
        <v>30</v>
      </c>
      <c r="G227" t="s">
        <v>38</v>
      </c>
      <c r="H227" t="s">
        <v>23</v>
      </c>
      <c r="I227">
        <v>6118</v>
      </c>
      <c r="J227">
        <v>174</v>
      </c>
      <c r="K227" s="8">
        <v>45149</v>
      </c>
      <c r="L227">
        <f>Table1[[#This Row],[unit price]]*Table1[[#This Row],[Units]]</f>
        <v>1064532</v>
      </c>
      <c r="M227" t="str">
        <f>TEXT(Table1[[#This Row],[Order date ]],"dddd")</f>
        <v>الجمعة</v>
      </c>
      <c r="N227">
        <f>MONTH(Table1[[#This Row],[Order date ]])</f>
        <v>8</v>
      </c>
      <c r="O227" t="str">
        <f>TEXT(Table1[[#This Row],[Order date ]],"mmm")</f>
        <v>أغسطس</v>
      </c>
      <c r="P227">
        <f>ROUNDUP(Table1[[#This Row],[month]]/3,0)</f>
        <v>3</v>
      </c>
      <c r="Q227" t="str">
        <f>"Q"&amp;ROUNDUP(Table1[[#This Row],[month]]/3,0)</f>
        <v>Q3</v>
      </c>
    </row>
    <row r="228" spans="5:17" x14ac:dyDescent="0.25">
      <c r="E228">
        <v>224</v>
      </c>
      <c r="F228" t="s">
        <v>28</v>
      </c>
      <c r="G228" t="s">
        <v>43</v>
      </c>
      <c r="H228" t="s">
        <v>8</v>
      </c>
      <c r="I228">
        <v>4802</v>
      </c>
      <c r="J228">
        <v>36</v>
      </c>
      <c r="K228" s="8">
        <v>45150</v>
      </c>
      <c r="L228">
        <f>Table1[[#This Row],[unit price]]*Table1[[#This Row],[Units]]</f>
        <v>172872</v>
      </c>
      <c r="M228" t="str">
        <f>TEXT(Table1[[#This Row],[Order date ]],"dddd")</f>
        <v>السبت</v>
      </c>
      <c r="N228">
        <f>MONTH(Table1[[#This Row],[Order date ]])</f>
        <v>8</v>
      </c>
      <c r="O228" t="str">
        <f>TEXT(Table1[[#This Row],[Order date ]],"mmm")</f>
        <v>أغسطس</v>
      </c>
      <c r="P228">
        <f>ROUNDUP(Table1[[#This Row],[month]]/3,0)</f>
        <v>3</v>
      </c>
      <c r="Q228" t="str">
        <f>"Q"&amp;ROUNDUP(Table1[[#This Row],[month]]/3,0)</f>
        <v>Q3</v>
      </c>
    </row>
    <row r="229" spans="5:17" x14ac:dyDescent="0.25">
      <c r="E229">
        <v>225</v>
      </c>
      <c r="F229" t="s">
        <v>3</v>
      </c>
      <c r="G229" t="s">
        <v>37</v>
      </c>
      <c r="H229" t="s">
        <v>17</v>
      </c>
      <c r="I229">
        <v>4137</v>
      </c>
      <c r="J229">
        <v>60</v>
      </c>
      <c r="K229" s="8">
        <v>45151</v>
      </c>
      <c r="L229">
        <f>Table1[[#This Row],[unit price]]*Table1[[#This Row],[Units]]</f>
        <v>248220</v>
      </c>
      <c r="M229" t="str">
        <f>TEXT(Table1[[#This Row],[Order date ]],"dddd")</f>
        <v>الأحد</v>
      </c>
      <c r="N229">
        <f>MONTH(Table1[[#This Row],[Order date ]])</f>
        <v>8</v>
      </c>
      <c r="O229" t="str">
        <f>TEXT(Table1[[#This Row],[Order date ]],"mmm")</f>
        <v>أغسطس</v>
      </c>
      <c r="P229">
        <f>ROUNDUP(Table1[[#This Row],[month]]/3,0)</f>
        <v>3</v>
      </c>
      <c r="Q229" t="str">
        <f>"Q"&amp;ROUNDUP(Table1[[#This Row],[month]]/3,0)</f>
        <v>Q3</v>
      </c>
    </row>
    <row r="230" spans="5:17" x14ac:dyDescent="0.25">
      <c r="E230">
        <v>226</v>
      </c>
      <c r="F230" t="s">
        <v>34</v>
      </c>
      <c r="G230" t="s">
        <v>45</v>
      </c>
      <c r="H230" t="s">
        <v>16</v>
      </c>
      <c r="I230">
        <v>2023</v>
      </c>
      <c r="J230">
        <v>78</v>
      </c>
      <c r="K230" s="8">
        <v>45152</v>
      </c>
      <c r="L230">
        <f>Table1[[#This Row],[unit price]]*Table1[[#This Row],[Units]]</f>
        <v>157794</v>
      </c>
      <c r="M230" t="str">
        <f>TEXT(Table1[[#This Row],[Order date ]],"dddd")</f>
        <v>الإثنين</v>
      </c>
      <c r="N230">
        <f>MONTH(Table1[[#This Row],[Order date ]])</f>
        <v>8</v>
      </c>
      <c r="O230" t="str">
        <f>TEXT(Table1[[#This Row],[Order date ]],"mmm")</f>
        <v>أغسطس</v>
      </c>
      <c r="P230">
        <f>ROUNDUP(Table1[[#This Row],[month]]/3,0)</f>
        <v>3</v>
      </c>
      <c r="Q230" t="str">
        <f>"Q"&amp;ROUNDUP(Table1[[#This Row],[month]]/3,0)</f>
        <v>Q3</v>
      </c>
    </row>
    <row r="231" spans="5:17" x14ac:dyDescent="0.25">
      <c r="E231">
        <v>227</v>
      </c>
      <c r="F231" t="s">
        <v>3</v>
      </c>
      <c r="G231" t="s">
        <v>38</v>
      </c>
      <c r="H231" t="s">
        <v>23</v>
      </c>
      <c r="I231">
        <v>9051</v>
      </c>
      <c r="J231">
        <v>57</v>
      </c>
      <c r="K231" s="8">
        <v>45153</v>
      </c>
      <c r="L231">
        <f>Table1[[#This Row],[unit price]]*Table1[[#This Row],[Units]]</f>
        <v>515907</v>
      </c>
      <c r="M231" t="str">
        <f>TEXT(Table1[[#This Row],[Order date ]],"dddd")</f>
        <v>الثلاثاء</v>
      </c>
      <c r="N231">
        <f>MONTH(Table1[[#This Row],[Order date ]])</f>
        <v>8</v>
      </c>
      <c r="O231" t="str">
        <f>TEXT(Table1[[#This Row],[Order date ]],"mmm")</f>
        <v>أغسطس</v>
      </c>
      <c r="P231">
        <f>ROUNDUP(Table1[[#This Row],[month]]/3,0)</f>
        <v>3</v>
      </c>
      <c r="Q231" t="str">
        <f>"Q"&amp;ROUNDUP(Table1[[#This Row],[month]]/3,0)</f>
        <v>Q3</v>
      </c>
    </row>
    <row r="232" spans="5:17" x14ac:dyDescent="0.25">
      <c r="E232">
        <v>228</v>
      </c>
      <c r="F232" t="s">
        <v>3</v>
      </c>
      <c r="G232" t="s">
        <v>40</v>
      </c>
      <c r="H232" t="s">
        <v>21</v>
      </c>
      <c r="I232">
        <v>2919</v>
      </c>
      <c r="J232">
        <v>45</v>
      </c>
      <c r="K232" s="8">
        <v>45154</v>
      </c>
      <c r="L232">
        <f>Table1[[#This Row],[unit price]]*Table1[[#This Row],[Units]]</f>
        <v>131355</v>
      </c>
      <c r="M232" t="str">
        <f>TEXT(Table1[[#This Row],[Order date ]],"dddd")</f>
        <v>الأربعاء</v>
      </c>
      <c r="N232">
        <f>MONTH(Table1[[#This Row],[Order date ]])</f>
        <v>8</v>
      </c>
      <c r="O232" t="str">
        <f>TEXT(Table1[[#This Row],[Order date ]],"mmm")</f>
        <v>أغسطس</v>
      </c>
      <c r="P232">
        <f>ROUNDUP(Table1[[#This Row],[month]]/3,0)</f>
        <v>3</v>
      </c>
      <c r="Q232" t="str">
        <f>"Q"&amp;ROUNDUP(Table1[[#This Row],[month]]/3,0)</f>
        <v>Q3</v>
      </c>
    </row>
    <row r="233" spans="5:17" x14ac:dyDescent="0.25">
      <c r="E233">
        <v>229</v>
      </c>
      <c r="F233" t="s">
        <v>30</v>
      </c>
      <c r="G233" t="s">
        <v>37</v>
      </c>
      <c r="H233" t="s">
        <v>15</v>
      </c>
      <c r="I233">
        <v>5915</v>
      </c>
      <c r="J233">
        <v>3</v>
      </c>
      <c r="K233" s="8">
        <v>45155</v>
      </c>
      <c r="L233">
        <f>Table1[[#This Row],[unit price]]*Table1[[#This Row],[Units]]</f>
        <v>17745</v>
      </c>
      <c r="M233" t="str">
        <f>TEXT(Table1[[#This Row],[Order date ]],"dddd")</f>
        <v>الخميس</v>
      </c>
      <c r="N233">
        <f>MONTH(Table1[[#This Row],[Order date ]])</f>
        <v>8</v>
      </c>
      <c r="O233" t="str">
        <f>TEXT(Table1[[#This Row],[Order date ]],"mmm")</f>
        <v>أغسطس</v>
      </c>
      <c r="P233">
        <f>ROUNDUP(Table1[[#This Row],[month]]/3,0)</f>
        <v>3</v>
      </c>
      <c r="Q233" t="str">
        <f>"Q"&amp;ROUNDUP(Table1[[#This Row],[month]]/3,0)</f>
        <v>Q3</v>
      </c>
    </row>
    <row r="234" spans="5:17" x14ac:dyDescent="0.25">
      <c r="E234">
        <v>230</v>
      </c>
      <c r="F234" t="s">
        <v>35</v>
      </c>
      <c r="G234" t="s">
        <v>45</v>
      </c>
      <c r="H234" t="s">
        <v>8</v>
      </c>
      <c r="I234">
        <v>2562</v>
      </c>
      <c r="J234">
        <v>6</v>
      </c>
      <c r="K234" s="8">
        <v>45156</v>
      </c>
      <c r="L234">
        <f>Table1[[#This Row],[unit price]]*Table1[[#This Row],[Units]]</f>
        <v>15372</v>
      </c>
      <c r="M234" t="str">
        <f>TEXT(Table1[[#This Row],[Order date ]],"dddd")</f>
        <v>الجمعة</v>
      </c>
      <c r="N234">
        <f>MONTH(Table1[[#This Row],[Order date ]])</f>
        <v>8</v>
      </c>
      <c r="O234" t="str">
        <f>TEXT(Table1[[#This Row],[Order date ]],"mmm")</f>
        <v>أغسطس</v>
      </c>
      <c r="P234">
        <f>ROUNDUP(Table1[[#This Row],[month]]/3,0)</f>
        <v>3</v>
      </c>
      <c r="Q234" t="str">
        <f>"Q"&amp;ROUNDUP(Table1[[#This Row],[month]]/3,0)</f>
        <v>Q3</v>
      </c>
    </row>
    <row r="235" spans="5:17" x14ac:dyDescent="0.25">
      <c r="E235">
        <v>231</v>
      </c>
      <c r="F235" t="s">
        <v>33</v>
      </c>
      <c r="G235" t="s">
        <v>40</v>
      </c>
      <c r="H235" t="s">
        <v>18</v>
      </c>
      <c r="I235">
        <v>8813</v>
      </c>
      <c r="J235">
        <v>21</v>
      </c>
      <c r="K235" s="8">
        <v>45157</v>
      </c>
      <c r="L235">
        <f>Table1[[#This Row],[unit price]]*Table1[[#This Row],[Units]]</f>
        <v>185073</v>
      </c>
      <c r="M235" t="str">
        <f>TEXT(Table1[[#This Row],[Order date ]],"dddd")</f>
        <v>السبت</v>
      </c>
      <c r="N235">
        <f>MONTH(Table1[[#This Row],[Order date ]])</f>
        <v>8</v>
      </c>
      <c r="O235" t="str">
        <f>TEXT(Table1[[#This Row],[Order date ]],"mmm")</f>
        <v>أغسطس</v>
      </c>
      <c r="P235">
        <f>ROUNDUP(Table1[[#This Row],[month]]/3,0)</f>
        <v>3</v>
      </c>
      <c r="Q235" t="str">
        <f>"Q"&amp;ROUNDUP(Table1[[#This Row],[month]]/3,0)</f>
        <v>Q3</v>
      </c>
    </row>
    <row r="236" spans="5:17" x14ac:dyDescent="0.25">
      <c r="E236">
        <v>232</v>
      </c>
      <c r="F236" t="s">
        <v>33</v>
      </c>
      <c r="G236" t="s">
        <v>38</v>
      </c>
      <c r="H236" t="s">
        <v>11</v>
      </c>
      <c r="I236">
        <v>6111</v>
      </c>
      <c r="J236">
        <v>3</v>
      </c>
      <c r="K236" s="8">
        <v>45158</v>
      </c>
      <c r="L236">
        <f>Table1[[#This Row],[unit price]]*Table1[[#This Row],[Units]]</f>
        <v>18333</v>
      </c>
      <c r="M236" t="str">
        <f>TEXT(Table1[[#This Row],[Order date ]],"dddd")</f>
        <v>الأحد</v>
      </c>
      <c r="N236">
        <f>MONTH(Table1[[#This Row],[Order date ]])</f>
        <v>8</v>
      </c>
      <c r="O236" t="str">
        <f>TEXT(Table1[[#This Row],[Order date ]],"mmm")</f>
        <v>أغسطس</v>
      </c>
      <c r="P236">
        <f>ROUNDUP(Table1[[#This Row],[month]]/3,0)</f>
        <v>3</v>
      </c>
      <c r="Q236" t="str">
        <f>"Q"&amp;ROUNDUP(Table1[[#This Row],[month]]/3,0)</f>
        <v>Q3</v>
      </c>
    </row>
    <row r="237" spans="5:17" x14ac:dyDescent="0.25">
      <c r="E237">
        <v>233</v>
      </c>
      <c r="F237" t="s">
        <v>29</v>
      </c>
      <c r="G237" t="s">
        <v>39</v>
      </c>
      <c r="H237" t="s">
        <v>24</v>
      </c>
      <c r="I237">
        <v>3507</v>
      </c>
      <c r="J237">
        <v>288</v>
      </c>
      <c r="K237" s="8">
        <v>45159</v>
      </c>
      <c r="L237">
        <f>Table1[[#This Row],[unit price]]*Table1[[#This Row],[Units]]</f>
        <v>1010016</v>
      </c>
      <c r="M237" t="str">
        <f>TEXT(Table1[[#This Row],[Order date ]],"dddd")</f>
        <v>الإثنين</v>
      </c>
      <c r="N237">
        <f>MONTH(Table1[[#This Row],[Order date ]])</f>
        <v>8</v>
      </c>
      <c r="O237" t="str">
        <f>TEXT(Table1[[#This Row],[Order date ]],"mmm")</f>
        <v>أغسطس</v>
      </c>
      <c r="P237">
        <f>ROUNDUP(Table1[[#This Row],[month]]/3,0)</f>
        <v>3</v>
      </c>
      <c r="Q237" t="str">
        <f>"Q"&amp;ROUNDUP(Table1[[#This Row],[month]]/3,0)</f>
        <v>Q3</v>
      </c>
    </row>
    <row r="238" spans="5:17" x14ac:dyDescent="0.25">
      <c r="E238">
        <v>234</v>
      </c>
      <c r="F238" t="s">
        <v>32</v>
      </c>
      <c r="G238" t="s">
        <v>38</v>
      </c>
      <c r="H238" t="s">
        <v>6</v>
      </c>
      <c r="I238">
        <v>4319</v>
      </c>
      <c r="J238">
        <v>30</v>
      </c>
      <c r="K238" s="8">
        <v>45160</v>
      </c>
      <c r="L238">
        <f>Table1[[#This Row],[unit price]]*Table1[[#This Row],[Units]]</f>
        <v>129570</v>
      </c>
      <c r="M238" t="str">
        <f>TEXT(Table1[[#This Row],[Order date ]],"dddd")</f>
        <v>الثلاثاء</v>
      </c>
      <c r="N238">
        <f>MONTH(Table1[[#This Row],[Order date ]])</f>
        <v>8</v>
      </c>
      <c r="O238" t="str">
        <f>TEXT(Table1[[#This Row],[Order date ]],"mmm")</f>
        <v>أغسطس</v>
      </c>
      <c r="P238">
        <f>ROUNDUP(Table1[[#This Row],[month]]/3,0)</f>
        <v>3</v>
      </c>
      <c r="Q238" t="str">
        <f>"Q"&amp;ROUNDUP(Table1[[#This Row],[month]]/3,0)</f>
        <v>Q3</v>
      </c>
    </row>
    <row r="239" spans="5:17" x14ac:dyDescent="0.25">
      <c r="E239">
        <v>235</v>
      </c>
      <c r="F239" t="s">
        <v>36</v>
      </c>
      <c r="G239" t="s">
        <v>37</v>
      </c>
      <c r="H239" t="s">
        <v>19</v>
      </c>
      <c r="I239">
        <v>609</v>
      </c>
      <c r="J239">
        <v>87</v>
      </c>
      <c r="K239" s="8">
        <v>45161</v>
      </c>
      <c r="L239">
        <f>Table1[[#This Row],[unit price]]*Table1[[#This Row],[Units]]</f>
        <v>52983</v>
      </c>
      <c r="M239" t="str">
        <f>TEXT(Table1[[#This Row],[Order date ]],"dddd")</f>
        <v>الأربعاء</v>
      </c>
      <c r="N239">
        <f>MONTH(Table1[[#This Row],[Order date ]])</f>
        <v>8</v>
      </c>
      <c r="O239" t="str">
        <f>TEXT(Table1[[#This Row],[Order date ]],"mmm")</f>
        <v>أغسطس</v>
      </c>
      <c r="P239">
        <f>ROUNDUP(Table1[[#This Row],[month]]/3,0)</f>
        <v>3</v>
      </c>
      <c r="Q239" t="str">
        <f>"Q"&amp;ROUNDUP(Table1[[#This Row],[month]]/3,0)</f>
        <v>Q3</v>
      </c>
    </row>
    <row r="240" spans="5:17" x14ac:dyDescent="0.25">
      <c r="E240">
        <v>236</v>
      </c>
      <c r="F240" t="s">
        <v>36</v>
      </c>
      <c r="G240" t="s">
        <v>43</v>
      </c>
      <c r="H240" t="s">
        <v>20</v>
      </c>
      <c r="I240">
        <v>6370</v>
      </c>
      <c r="J240">
        <v>30</v>
      </c>
      <c r="K240" s="8">
        <v>45162</v>
      </c>
      <c r="L240">
        <f>Table1[[#This Row],[unit price]]*Table1[[#This Row],[Units]]</f>
        <v>191100</v>
      </c>
      <c r="M240" t="str">
        <f>TEXT(Table1[[#This Row],[Order date ]],"dddd")</f>
        <v>الخميس</v>
      </c>
      <c r="N240">
        <f>MONTH(Table1[[#This Row],[Order date ]])</f>
        <v>8</v>
      </c>
      <c r="O240" t="str">
        <f>TEXT(Table1[[#This Row],[Order date ]],"mmm")</f>
        <v>أغسطس</v>
      </c>
      <c r="P240">
        <f>ROUNDUP(Table1[[#This Row],[month]]/3,0)</f>
        <v>3</v>
      </c>
      <c r="Q240" t="str">
        <f>"Q"&amp;ROUNDUP(Table1[[#This Row],[month]]/3,0)</f>
        <v>Q3</v>
      </c>
    </row>
    <row r="241" spans="5:17" x14ac:dyDescent="0.25">
      <c r="E241">
        <v>237</v>
      </c>
      <c r="F241" t="s">
        <v>33</v>
      </c>
      <c r="G241" t="s">
        <v>37</v>
      </c>
      <c r="H241" t="s">
        <v>12</v>
      </c>
      <c r="I241">
        <v>5474</v>
      </c>
      <c r="J241">
        <v>168</v>
      </c>
      <c r="K241" s="8">
        <v>45163</v>
      </c>
      <c r="L241">
        <f>Table1[[#This Row],[unit price]]*Table1[[#This Row],[Units]]</f>
        <v>919632</v>
      </c>
      <c r="M241" t="str">
        <f>TEXT(Table1[[#This Row],[Order date ]],"dddd")</f>
        <v>الجمعة</v>
      </c>
      <c r="N241">
        <f>MONTH(Table1[[#This Row],[Order date ]])</f>
        <v>8</v>
      </c>
      <c r="O241" t="str">
        <f>TEXT(Table1[[#This Row],[Order date ]],"mmm")</f>
        <v>أغسطس</v>
      </c>
      <c r="P241">
        <f>ROUNDUP(Table1[[#This Row],[month]]/3,0)</f>
        <v>3</v>
      </c>
      <c r="Q241" t="str">
        <f>"Q"&amp;ROUNDUP(Table1[[#This Row],[month]]/3,0)</f>
        <v>Q3</v>
      </c>
    </row>
    <row r="242" spans="5:17" x14ac:dyDescent="0.25">
      <c r="E242">
        <v>238</v>
      </c>
      <c r="F242" t="s">
        <v>36</v>
      </c>
      <c r="G242" t="s">
        <v>38</v>
      </c>
      <c r="H242" t="s">
        <v>20</v>
      </c>
      <c r="I242">
        <v>3164</v>
      </c>
      <c r="J242">
        <v>306</v>
      </c>
      <c r="K242" s="8">
        <v>45164</v>
      </c>
      <c r="L242">
        <f>Table1[[#This Row],[unit price]]*Table1[[#This Row],[Units]]</f>
        <v>968184</v>
      </c>
      <c r="M242" t="str">
        <f>TEXT(Table1[[#This Row],[Order date ]],"dddd")</f>
        <v>السبت</v>
      </c>
      <c r="N242">
        <f>MONTH(Table1[[#This Row],[Order date ]])</f>
        <v>8</v>
      </c>
      <c r="O242" t="str">
        <f>TEXT(Table1[[#This Row],[Order date ]],"mmm")</f>
        <v>أغسطس</v>
      </c>
      <c r="P242">
        <f>ROUNDUP(Table1[[#This Row],[month]]/3,0)</f>
        <v>3</v>
      </c>
      <c r="Q242" t="str">
        <f>"Q"&amp;ROUNDUP(Table1[[#This Row],[month]]/3,0)</f>
        <v>Q3</v>
      </c>
    </row>
    <row r="243" spans="5:17" x14ac:dyDescent="0.25">
      <c r="E243">
        <v>239</v>
      </c>
      <c r="F243" t="s">
        <v>32</v>
      </c>
      <c r="G243" t="s">
        <v>45</v>
      </c>
      <c r="H243" t="s">
        <v>2</v>
      </c>
      <c r="I243">
        <v>1302</v>
      </c>
      <c r="J243">
        <v>402</v>
      </c>
      <c r="K243" s="8">
        <v>45165</v>
      </c>
      <c r="L243">
        <f>Table1[[#This Row],[unit price]]*Table1[[#This Row],[Units]]</f>
        <v>523404</v>
      </c>
      <c r="M243" t="str">
        <f>TEXT(Table1[[#This Row],[Order date ]],"dddd")</f>
        <v>الأحد</v>
      </c>
      <c r="N243">
        <f>MONTH(Table1[[#This Row],[Order date ]])</f>
        <v>8</v>
      </c>
      <c r="O243" t="str">
        <f>TEXT(Table1[[#This Row],[Order date ]],"mmm")</f>
        <v>أغسطس</v>
      </c>
      <c r="P243">
        <f>ROUNDUP(Table1[[#This Row],[month]]/3,0)</f>
        <v>3</v>
      </c>
      <c r="Q243" t="str">
        <f>"Q"&amp;ROUNDUP(Table1[[#This Row],[month]]/3,0)</f>
        <v>Q3</v>
      </c>
    </row>
    <row r="244" spans="5:17" x14ac:dyDescent="0.25">
      <c r="E244">
        <v>240</v>
      </c>
      <c r="F244" t="s">
        <v>34</v>
      </c>
      <c r="G244" t="s">
        <v>40</v>
      </c>
      <c r="H244" t="s">
        <v>21</v>
      </c>
      <c r="I244">
        <v>7308</v>
      </c>
      <c r="J244">
        <v>327</v>
      </c>
      <c r="K244" s="8">
        <v>45166</v>
      </c>
      <c r="L244">
        <f>Table1[[#This Row],[unit price]]*Table1[[#This Row],[Units]]</f>
        <v>2389716</v>
      </c>
      <c r="M244" t="str">
        <f>TEXT(Table1[[#This Row],[Order date ]],"dddd")</f>
        <v>الإثنين</v>
      </c>
      <c r="N244">
        <f>MONTH(Table1[[#This Row],[Order date ]])</f>
        <v>8</v>
      </c>
      <c r="O244" t="str">
        <f>TEXT(Table1[[#This Row],[Order date ]],"mmm")</f>
        <v>أغسطس</v>
      </c>
      <c r="P244">
        <f>ROUNDUP(Table1[[#This Row],[month]]/3,0)</f>
        <v>3</v>
      </c>
      <c r="Q244" t="str">
        <f>"Q"&amp;ROUNDUP(Table1[[#This Row],[month]]/3,0)</f>
        <v>Q3</v>
      </c>
    </row>
    <row r="245" spans="5:17" x14ac:dyDescent="0.25">
      <c r="E245">
        <v>241</v>
      </c>
      <c r="F245" t="s">
        <v>36</v>
      </c>
      <c r="G245" t="s">
        <v>40</v>
      </c>
      <c r="H245" t="s">
        <v>20</v>
      </c>
      <c r="I245">
        <v>6132</v>
      </c>
      <c r="J245">
        <v>93</v>
      </c>
      <c r="K245" s="8">
        <v>45167</v>
      </c>
      <c r="L245">
        <f>Table1[[#This Row],[unit price]]*Table1[[#This Row],[Units]]</f>
        <v>570276</v>
      </c>
      <c r="M245" t="str">
        <f>TEXT(Table1[[#This Row],[Order date ]],"dddd")</f>
        <v>الثلاثاء</v>
      </c>
      <c r="N245">
        <f>MONTH(Table1[[#This Row],[Order date ]])</f>
        <v>8</v>
      </c>
      <c r="O245" t="str">
        <f>TEXT(Table1[[#This Row],[Order date ]],"mmm")</f>
        <v>أغسطس</v>
      </c>
      <c r="P245">
        <f>ROUNDUP(Table1[[#This Row],[month]]/3,0)</f>
        <v>3</v>
      </c>
      <c r="Q245" t="str">
        <f>"Q"&amp;ROUNDUP(Table1[[#This Row],[month]]/3,0)</f>
        <v>Q3</v>
      </c>
    </row>
    <row r="246" spans="5:17" x14ac:dyDescent="0.25">
      <c r="E246">
        <v>242</v>
      </c>
      <c r="F246" t="s">
        <v>35</v>
      </c>
      <c r="G246" t="s">
        <v>45</v>
      </c>
      <c r="H246" t="s">
        <v>7</v>
      </c>
      <c r="I246">
        <v>3472</v>
      </c>
      <c r="J246">
        <v>96</v>
      </c>
      <c r="K246" s="8">
        <v>45168</v>
      </c>
      <c r="L246">
        <f>Table1[[#This Row],[unit price]]*Table1[[#This Row],[Units]]</f>
        <v>333312</v>
      </c>
      <c r="M246" t="str">
        <f>TEXT(Table1[[#This Row],[Order date ]],"dddd")</f>
        <v>الأربعاء</v>
      </c>
      <c r="N246">
        <f>MONTH(Table1[[#This Row],[Order date ]])</f>
        <v>8</v>
      </c>
      <c r="O246" t="str">
        <f>TEXT(Table1[[#This Row],[Order date ]],"mmm")</f>
        <v>أغسطس</v>
      </c>
      <c r="P246">
        <f>ROUNDUP(Table1[[#This Row],[month]]/3,0)</f>
        <v>3</v>
      </c>
      <c r="Q246" t="str">
        <f>"Q"&amp;ROUNDUP(Table1[[#This Row],[month]]/3,0)</f>
        <v>Q3</v>
      </c>
    </row>
    <row r="247" spans="5:17" x14ac:dyDescent="0.25">
      <c r="E247">
        <v>243</v>
      </c>
      <c r="F247" t="s">
        <v>29</v>
      </c>
      <c r="G247" t="s">
        <v>43</v>
      </c>
      <c r="H247" t="s">
        <v>11</v>
      </c>
      <c r="I247">
        <v>9660</v>
      </c>
      <c r="J247">
        <v>27</v>
      </c>
      <c r="K247" s="8">
        <v>45169</v>
      </c>
      <c r="L247">
        <f>Table1[[#This Row],[unit price]]*Table1[[#This Row],[Units]]</f>
        <v>260820</v>
      </c>
      <c r="M247" t="str">
        <f>TEXT(Table1[[#This Row],[Order date ]],"dddd")</f>
        <v>الخميس</v>
      </c>
      <c r="N247">
        <f>MONTH(Table1[[#This Row],[Order date ]])</f>
        <v>8</v>
      </c>
      <c r="O247" t="str">
        <f>TEXT(Table1[[#This Row],[Order date ]],"mmm")</f>
        <v>أغسطس</v>
      </c>
      <c r="P247">
        <f>ROUNDUP(Table1[[#This Row],[month]]/3,0)</f>
        <v>3</v>
      </c>
      <c r="Q247" t="str">
        <f>"Q"&amp;ROUNDUP(Table1[[#This Row],[month]]/3,0)</f>
        <v>Q3</v>
      </c>
    </row>
    <row r="248" spans="5:17" x14ac:dyDescent="0.25">
      <c r="E248">
        <v>244</v>
      </c>
      <c r="F248" t="s">
        <v>3</v>
      </c>
      <c r="G248" t="s">
        <v>37</v>
      </c>
      <c r="H248" t="s">
        <v>19</v>
      </c>
      <c r="I248">
        <v>2436</v>
      </c>
      <c r="J248">
        <v>99</v>
      </c>
      <c r="K248" s="8">
        <v>45170</v>
      </c>
      <c r="L248">
        <f>Table1[[#This Row],[unit price]]*Table1[[#This Row],[Units]]</f>
        <v>241164</v>
      </c>
      <c r="M248" t="str">
        <f>TEXT(Table1[[#This Row],[Order date ]],"dddd")</f>
        <v>الجمعة</v>
      </c>
      <c r="N248">
        <f>MONTH(Table1[[#This Row],[Order date ]])</f>
        <v>9</v>
      </c>
      <c r="O248" t="str">
        <f>TEXT(Table1[[#This Row],[Order date ]],"mmm")</f>
        <v>سبتمبر</v>
      </c>
      <c r="P248">
        <f>ROUNDUP(Table1[[#This Row],[month]]/3,0)</f>
        <v>3</v>
      </c>
      <c r="Q248" t="str">
        <f>"Q"&amp;ROUNDUP(Table1[[#This Row],[month]]/3,0)</f>
        <v>Q3</v>
      </c>
    </row>
    <row r="249" spans="5:17" x14ac:dyDescent="0.25">
      <c r="E249">
        <v>245</v>
      </c>
      <c r="F249" t="s">
        <v>3</v>
      </c>
      <c r="G249" t="s">
        <v>37</v>
      </c>
      <c r="H249" t="s">
        <v>26</v>
      </c>
      <c r="I249">
        <v>9506</v>
      </c>
      <c r="J249">
        <v>87</v>
      </c>
      <c r="K249" s="8">
        <v>45171</v>
      </c>
      <c r="L249">
        <f>Table1[[#This Row],[unit price]]*Table1[[#This Row],[Units]]</f>
        <v>827022</v>
      </c>
      <c r="M249" t="str">
        <f>TEXT(Table1[[#This Row],[Order date ]],"dddd")</f>
        <v>السبت</v>
      </c>
      <c r="N249">
        <f>MONTH(Table1[[#This Row],[Order date ]])</f>
        <v>9</v>
      </c>
      <c r="O249" t="str">
        <f>TEXT(Table1[[#This Row],[Order date ]],"mmm")</f>
        <v>سبتمبر</v>
      </c>
      <c r="P249">
        <f>ROUNDUP(Table1[[#This Row],[month]]/3,0)</f>
        <v>3</v>
      </c>
      <c r="Q249" t="str">
        <f>"Q"&amp;ROUNDUP(Table1[[#This Row],[month]]/3,0)</f>
        <v>Q3</v>
      </c>
    </row>
    <row r="250" spans="5:17" x14ac:dyDescent="0.25">
      <c r="E250">
        <v>246</v>
      </c>
      <c r="F250" t="s">
        <v>35</v>
      </c>
      <c r="G250" t="s">
        <v>40</v>
      </c>
      <c r="H250" t="s">
        <v>14</v>
      </c>
      <c r="I250">
        <v>245</v>
      </c>
      <c r="J250">
        <v>288</v>
      </c>
      <c r="K250" s="8">
        <v>45172</v>
      </c>
      <c r="L250">
        <f>Table1[[#This Row],[unit price]]*Table1[[#This Row],[Units]]</f>
        <v>70560</v>
      </c>
      <c r="M250" t="str">
        <f>TEXT(Table1[[#This Row],[Order date ]],"dddd")</f>
        <v>الأحد</v>
      </c>
      <c r="N250">
        <f>MONTH(Table1[[#This Row],[Order date ]])</f>
        <v>9</v>
      </c>
      <c r="O250" t="str">
        <f>TEXT(Table1[[#This Row],[Order date ]],"mmm")</f>
        <v>سبتمبر</v>
      </c>
      <c r="P250">
        <f>ROUNDUP(Table1[[#This Row],[month]]/3,0)</f>
        <v>3</v>
      </c>
      <c r="Q250" t="str">
        <f>"Q"&amp;ROUNDUP(Table1[[#This Row],[month]]/3,0)</f>
        <v>Q3</v>
      </c>
    </row>
    <row r="251" spans="5:17" x14ac:dyDescent="0.25">
      <c r="E251">
        <v>247</v>
      </c>
      <c r="F251" t="s">
        <v>29</v>
      </c>
      <c r="G251" t="s">
        <v>45</v>
      </c>
      <c r="H251" t="s">
        <v>13</v>
      </c>
      <c r="I251">
        <v>2702</v>
      </c>
      <c r="J251">
        <v>363</v>
      </c>
      <c r="K251" s="8">
        <v>45173</v>
      </c>
      <c r="L251">
        <f>Table1[[#This Row],[unit price]]*Table1[[#This Row],[Units]]</f>
        <v>980826</v>
      </c>
      <c r="M251" t="str">
        <f>TEXT(Table1[[#This Row],[Order date ]],"dddd")</f>
        <v>الإثنين</v>
      </c>
      <c r="N251">
        <f>MONTH(Table1[[#This Row],[Order date ]])</f>
        <v>9</v>
      </c>
      <c r="O251" t="str">
        <f>TEXT(Table1[[#This Row],[Order date ]],"mmm")</f>
        <v>سبتمبر</v>
      </c>
      <c r="P251">
        <f>ROUNDUP(Table1[[#This Row],[month]]/3,0)</f>
        <v>3</v>
      </c>
      <c r="Q251" t="str">
        <f>"Q"&amp;ROUNDUP(Table1[[#This Row],[month]]/3,0)</f>
        <v>Q3</v>
      </c>
    </row>
    <row r="252" spans="5:17" x14ac:dyDescent="0.25">
      <c r="E252">
        <v>248</v>
      </c>
      <c r="F252" t="s">
        <v>35</v>
      </c>
      <c r="G252" t="s">
        <v>39</v>
      </c>
      <c r="H252" t="s">
        <v>10</v>
      </c>
      <c r="I252">
        <v>700</v>
      </c>
      <c r="J252">
        <v>87</v>
      </c>
      <c r="K252" s="8">
        <v>45174</v>
      </c>
      <c r="L252">
        <f>Table1[[#This Row],[unit price]]*Table1[[#This Row],[Units]]</f>
        <v>60900</v>
      </c>
      <c r="M252" t="str">
        <f>TEXT(Table1[[#This Row],[Order date ]],"dddd")</f>
        <v>الثلاثاء</v>
      </c>
      <c r="N252">
        <f>MONTH(Table1[[#This Row],[Order date ]])</f>
        <v>9</v>
      </c>
      <c r="O252" t="str">
        <f>TEXT(Table1[[#This Row],[Order date ]],"mmm")</f>
        <v>سبتمبر</v>
      </c>
      <c r="P252">
        <f>ROUNDUP(Table1[[#This Row],[month]]/3,0)</f>
        <v>3</v>
      </c>
      <c r="Q252" t="str">
        <f>"Q"&amp;ROUNDUP(Table1[[#This Row],[month]]/3,0)</f>
        <v>Q3</v>
      </c>
    </row>
    <row r="253" spans="5:17" x14ac:dyDescent="0.25">
      <c r="E253">
        <v>249</v>
      </c>
      <c r="F253" t="s">
        <v>32</v>
      </c>
      <c r="G253" t="s">
        <v>39</v>
      </c>
      <c r="H253" t="s">
        <v>10</v>
      </c>
      <c r="I253">
        <v>3759</v>
      </c>
      <c r="J253">
        <v>150</v>
      </c>
      <c r="K253" s="8">
        <v>45175</v>
      </c>
      <c r="L253">
        <f>Table1[[#This Row],[unit price]]*Table1[[#This Row],[Units]]</f>
        <v>563850</v>
      </c>
      <c r="M253" t="str">
        <f>TEXT(Table1[[#This Row],[Order date ]],"dddd")</f>
        <v>الأربعاء</v>
      </c>
      <c r="N253">
        <f>MONTH(Table1[[#This Row],[Order date ]])</f>
        <v>9</v>
      </c>
      <c r="O253" t="str">
        <f>TEXT(Table1[[#This Row],[Order date ]],"mmm")</f>
        <v>سبتمبر</v>
      </c>
      <c r="P253">
        <f>ROUNDUP(Table1[[#This Row],[month]]/3,0)</f>
        <v>3</v>
      </c>
      <c r="Q253" t="str">
        <f>"Q"&amp;ROUNDUP(Table1[[#This Row],[month]]/3,0)</f>
        <v>Q3</v>
      </c>
    </row>
    <row r="254" spans="5:17" x14ac:dyDescent="0.25">
      <c r="E254">
        <v>250</v>
      </c>
      <c r="F254" t="s">
        <v>28</v>
      </c>
      <c r="G254" t="s">
        <v>45</v>
      </c>
      <c r="H254" t="s">
        <v>10</v>
      </c>
      <c r="I254">
        <v>1589</v>
      </c>
      <c r="J254">
        <v>303</v>
      </c>
      <c r="K254" s="8">
        <v>45176</v>
      </c>
      <c r="L254">
        <f>Table1[[#This Row],[unit price]]*Table1[[#This Row],[Units]]</f>
        <v>481467</v>
      </c>
      <c r="M254" t="str">
        <f>TEXT(Table1[[#This Row],[Order date ]],"dddd")</f>
        <v>الخميس</v>
      </c>
      <c r="N254">
        <f>MONTH(Table1[[#This Row],[Order date ]])</f>
        <v>9</v>
      </c>
      <c r="O254" t="str">
        <f>TEXT(Table1[[#This Row],[Order date ]],"mmm")</f>
        <v>سبتمبر</v>
      </c>
      <c r="P254">
        <f>ROUNDUP(Table1[[#This Row],[month]]/3,0)</f>
        <v>3</v>
      </c>
      <c r="Q254" t="str">
        <f>"Q"&amp;ROUNDUP(Table1[[#This Row],[month]]/3,0)</f>
        <v>Q3</v>
      </c>
    </row>
    <row r="255" spans="5:17" x14ac:dyDescent="0.25">
      <c r="E255">
        <v>251</v>
      </c>
      <c r="F255" t="s">
        <v>31</v>
      </c>
      <c r="G255" t="s">
        <v>45</v>
      </c>
      <c r="H255" t="s">
        <v>21</v>
      </c>
      <c r="I255">
        <v>5194</v>
      </c>
      <c r="J255">
        <v>288</v>
      </c>
      <c r="K255" s="8">
        <v>45177</v>
      </c>
      <c r="L255">
        <f>Table1[[#This Row],[unit price]]*Table1[[#This Row],[Units]]</f>
        <v>1495872</v>
      </c>
      <c r="M255" t="str">
        <f>TEXT(Table1[[#This Row],[Order date ]],"dddd")</f>
        <v>الجمعة</v>
      </c>
      <c r="N255">
        <f>MONTH(Table1[[#This Row],[Order date ]])</f>
        <v>9</v>
      </c>
      <c r="O255" t="str">
        <f>TEXT(Table1[[#This Row],[Order date ]],"mmm")</f>
        <v>سبتمبر</v>
      </c>
      <c r="P255">
        <f>ROUNDUP(Table1[[#This Row],[month]]/3,0)</f>
        <v>3</v>
      </c>
      <c r="Q255" t="str">
        <f>"Q"&amp;ROUNDUP(Table1[[#This Row],[month]]/3,0)</f>
        <v>Q3</v>
      </c>
    </row>
    <row r="256" spans="5:17" x14ac:dyDescent="0.25">
      <c r="E256">
        <v>252</v>
      </c>
      <c r="F256" t="s">
        <v>35</v>
      </c>
      <c r="G256" t="s">
        <v>38</v>
      </c>
      <c r="H256" t="s">
        <v>6</v>
      </c>
      <c r="I256">
        <v>945</v>
      </c>
      <c r="J256">
        <v>75</v>
      </c>
      <c r="K256" s="8">
        <v>45178</v>
      </c>
      <c r="L256">
        <f>Table1[[#This Row],[unit price]]*Table1[[#This Row],[Units]]</f>
        <v>70875</v>
      </c>
      <c r="M256" t="str">
        <f>TEXT(Table1[[#This Row],[Order date ]],"dddd")</f>
        <v>السبت</v>
      </c>
      <c r="N256">
        <f>MONTH(Table1[[#This Row],[Order date ]])</f>
        <v>9</v>
      </c>
      <c r="O256" t="str">
        <f>TEXT(Table1[[#This Row],[Order date ]],"mmm")</f>
        <v>سبتمبر</v>
      </c>
      <c r="P256">
        <f>ROUNDUP(Table1[[#This Row],[month]]/3,0)</f>
        <v>3</v>
      </c>
      <c r="Q256" t="str">
        <f>"Q"&amp;ROUNDUP(Table1[[#This Row],[month]]/3,0)</f>
        <v>Q3</v>
      </c>
    </row>
    <row r="257" spans="5:17" x14ac:dyDescent="0.25">
      <c r="E257">
        <v>253</v>
      </c>
      <c r="F257" t="s">
        <v>36</v>
      </c>
      <c r="G257" t="s">
        <v>37</v>
      </c>
      <c r="H257" t="s">
        <v>24</v>
      </c>
      <c r="I257">
        <v>1988</v>
      </c>
      <c r="J257">
        <v>39</v>
      </c>
      <c r="K257" s="8">
        <v>45179</v>
      </c>
      <c r="L257">
        <f>Table1[[#This Row],[unit price]]*Table1[[#This Row],[Units]]</f>
        <v>77532</v>
      </c>
      <c r="M257" t="str">
        <f>TEXT(Table1[[#This Row],[Order date ]],"dddd")</f>
        <v>الأحد</v>
      </c>
      <c r="N257">
        <f>MONTH(Table1[[#This Row],[Order date ]])</f>
        <v>9</v>
      </c>
      <c r="O257" t="str">
        <f>TEXT(Table1[[#This Row],[Order date ]],"mmm")</f>
        <v>سبتمبر</v>
      </c>
      <c r="P257">
        <f>ROUNDUP(Table1[[#This Row],[month]]/3,0)</f>
        <v>3</v>
      </c>
      <c r="Q257" t="str">
        <f>"Q"&amp;ROUNDUP(Table1[[#This Row],[month]]/3,0)</f>
        <v>Q3</v>
      </c>
    </row>
    <row r="258" spans="5:17" x14ac:dyDescent="0.25">
      <c r="E258">
        <v>254</v>
      </c>
      <c r="F258" t="s">
        <v>32</v>
      </c>
      <c r="G258" t="s">
        <v>39</v>
      </c>
      <c r="H258" t="s">
        <v>25</v>
      </c>
      <c r="I258">
        <v>6734</v>
      </c>
      <c r="J258">
        <v>123</v>
      </c>
      <c r="K258" s="8">
        <v>45180</v>
      </c>
      <c r="L258">
        <f>Table1[[#This Row],[unit price]]*Table1[[#This Row],[Units]]</f>
        <v>828282</v>
      </c>
      <c r="M258" t="str">
        <f>TEXT(Table1[[#This Row],[Order date ]],"dddd")</f>
        <v>الإثنين</v>
      </c>
      <c r="N258">
        <f>MONTH(Table1[[#This Row],[Order date ]])</f>
        <v>9</v>
      </c>
      <c r="O258" t="str">
        <f>TEXT(Table1[[#This Row],[Order date ]],"mmm")</f>
        <v>سبتمبر</v>
      </c>
      <c r="P258">
        <f>ROUNDUP(Table1[[#This Row],[month]]/3,0)</f>
        <v>3</v>
      </c>
      <c r="Q258" t="str">
        <f>"Q"&amp;ROUNDUP(Table1[[#This Row],[month]]/3,0)</f>
        <v>Q3</v>
      </c>
    </row>
    <row r="259" spans="5:17" x14ac:dyDescent="0.25">
      <c r="E259">
        <v>255</v>
      </c>
      <c r="F259" t="s">
        <v>36</v>
      </c>
      <c r="G259" t="s">
        <v>38</v>
      </c>
      <c r="H259" t="s">
        <v>2</v>
      </c>
      <c r="I259">
        <v>217</v>
      </c>
      <c r="J259">
        <v>36</v>
      </c>
      <c r="K259" s="8">
        <v>45181</v>
      </c>
      <c r="L259">
        <f>Table1[[#This Row],[unit price]]*Table1[[#This Row],[Units]]</f>
        <v>7812</v>
      </c>
      <c r="M259" t="str">
        <f>TEXT(Table1[[#This Row],[Order date ]],"dddd")</f>
        <v>الثلاثاء</v>
      </c>
      <c r="N259">
        <f>MONTH(Table1[[#This Row],[Order date ]])</f>
        <v>9</v>
      </c>
      <c r="O259" t="str">
        <f>TEXT(Table1[[#This Row],[Order date ]],"mmm")</f>
        <v>سبتمبر</v>
      </c>
      <c r="P259">
        <f>ROUNDUP(Table1[[#This Row],[month]]/3,0)</f>
        <v>3</v>
      </c>
      <c r="Q259" t="str">
        <f>"Q"&amp;ROUNDUP(Table1[[#This Row],[month]]/3,0)</f>
        <v>Q3</v>
      </c>
    </row>
    <row r="260" spans="5:17" x14ac:dyDescent="0.25">
      <c r="E260">
        <v>256</v>
      </c>
      <c r="F260" t="s">
        <v>33</v>
      </c>
      <c r="G260" t="s">
        <v>39</v>
      </c>
      <c r="H260" t="s">
        <v>15</v>
      </c>
      <c r="I260">
        <v>6279</v>
      </c>
      <c r="J260">
        <v>237</v>
      </c>
      <c r="K260" s="8">
        <v>45182</v>
      </c>
      <c r="L260">
        <f>Table1[[#This Row],[unit price]]*Table1[[#This Row],[Units]]</f>
        <v>1488123</v>
      </c>
      <c r="M260" t="str">
        <f>TEXT(Table1[[#This Row],[Order date ]],"dddd")</f>
        <v>الأربعاء</v>
      </c>
      <c r="N260">
        <f>MONTH(Table1[[#This Row],[Order date ]])</f>
        <v>9</v>
      </c>
      <c r="O260" t="str">
        <f>TEXT(Table1[[#This Row],[Order date ]],"mmm")</f>
        <v>سبتمبر</v>
      </c>
      <c r="P260">
        <f>ROUNDUP(Table1[[#This Row],[month]]/3,0)</f>
        <v>3</v>
      </c>
      <c r="Q260" t="str">
        <f>"Q"&amp;ROUNDUP(Table1[[#This Row],[month]]/3,0)</f>
        <v>Q3</v>
      </c>
    </row>
    <row r="261" spans="5:17" x14ac:dyDescent="0.25">
      <c r="E261">
        <v>257</v>
      </c>
      <c r="F261" t="s">
        <v>36</v>
      </c>
      <c r="G261" t="s">
        <v>38</v>
      </c>
      <c r="H261" t="s">
        <v>6</v>
      </c>
      <c r="I261">
        <v>4424</v>
      </c>
      <c r="J261">
        <v>201</v>
      </c>
      <c r="K261" s="8">
        <v>45183</v>
      </c>
      <c r="L261">
        <f>Table1[[#This Row],[unit price]]*Table1[[#This Row],[Units]]</f>
        <v>889224</v>
      </c>
      <c r="M261" t="str">
        <f>TEXT(Table1[[#This Row],[Order date ]],"dddd")</f>
        <v>الخميس</v>
      </c>
      <c r="N261">
        <f>MONTH(Table1[[#This Row],[Order date ]])</f>
        <v>9</v>
      </c>
      <c r="O261" t="str">
        <f>TEXT(Table1[[#This Row],[Order date ]],"mmm")</f>
        <v>سبتمبر</v>
      </c>
      <c r="P261">
        <f>ROUNDUP(Table1[[#This Row],[month]]/3,0)</f>
        <v>3</v>
      </c>
      <c r="Q261" t="str">
        <f>"Q"&amp;ROUNDUP(Table1[[#This Row],[month]]/3,0)</f>
        <v>Q3</v>
      </c>
    </row>
    <row r="262" spans="5:17" x14ac:dyDescent="0.25">
      <c r="E262">
        <v>258</v>
      </c>
      <c r="F262" t="s">
        <v>28</v>
      </c>
      <c r="G262" t="s">
        <v>38</v>
      </c>
      <c r="H262" t="s">
        <v>10</v>
      </c>
      <c r="I262">
        <v>189</v>
      </c>
      <c r="J262">
        <v>48</v>
      </c>
      <c r="K262" s="8">
        <v>45184</v>
      </c>
      <c r="L262">
        <f>Table1[[#This Row],[unit price]]*Table1[[#This Row],[Units]]</f>
        <v>9072</v>
      </c>
      <c r="M262" t="str">
        <f>TEXT(Table1[[#This Row],[Order date ]],"dddd")</f>
        <v>الجمعة</v>
      </c>
      <c r="N262">
        <f>MONTH(Table1[[#This Row],[Order date ]])</f>
        <v>9</v>
      </c>
      <c r="O262" t="str">
        <f>TEXT(Table1[[#This Row],[Order date ]],"mmm")</f>
        <v>سبتمبر</v>
      </c>
      <c r="P262">
        <f>ROUNDUP(Table1[[#This Row],[month]]/3,0)</f>
        <v>3</v>
      </c>
      <c r="Q262" t="str">
        <f>"Q"&amp;ROUNDUP(Table1[[#This Row],[month]]/3,0)</f>
        <v>Q3</v>
      </c>
    </row>
    <row r="263" spans="5:17" x14ac:dyDescent="0.25">
      <c r="E263">
        <v>259</v>
      </c>
      <c r="F263" t="s">
        <v>33</v>
      </c>
      <c r="G263" t="s">
        <v>45</v>
      </c>
      <c r="H263" t="s">
        <v>15</v>
      </c>
      <c r="I263">
        <v>490</v>
      </c>
      <c r="J263">
        <v>84</v>
      </c>
      <c r="K263" s="8">
        <v>45185</v>
      </c>
      <c r="L263">
        <f>Table1[[#This Row],[unit price]]*Table1[[#This Row],[Units]]</f>
        <v>41160</v>
      </c>
      <c r="M263" t="str">
        <f>TEXT(Table1[[#This Row],[Order date ]],"dddd")</f>
        <v>السبت</v>
      </c>
      <c r="N263">
        <f>MONTH(Table1[[#This Row],[Order date ]])</f>
        <v>9</v>
      </c>
      <c r="O263" t="str">
        <f>TEXT(Table1[[#This Row],[Order date ]],"mmm")</f>
        <v>سبتمبر</v>
      </c>
      <c r="P263">
        <f>ROUNDUP(Table1[[#This Row],[month]]/3,0)</f>
        <v>3</v>
      </c>
      <c r="Q263" t="str">
        <f>"Q"&amp;ROUNDUP(Table1[[#This Row],[month]]/3,0)</f>
        <v>Q3</v>
      </c>
    </row>
    <row r="264" spans="5:17" x14ac:dyDescent="0.25">
      <c r="E264">
        <v>260</v>
      </c>
      <c r="F264" t="s">
        <v>29</v>
      </c>
      <c r="G264" t="s">
        <v>40</v>
      </c>
      <c r="H264" t="s">
        <v>14</v>
      </c>
      <c r="I264">
        <v>434</v>
      </c>
      <c r="J264">
        <v>87</v>
      </c>
      <c r="K264" s="8">
        <v>45186</v>
      </c>
      <c r="L264">
        <f>Table1[[#This Row],[unit price]]*Table1[[#This Row],[Units]]</f>
        <v>37758</v>
      </c>
      <c r="M264" t="str">
        <f>TEXT(Table1[[#This Row],[Order date ]],"dddd")</f>
        <v>الأحد</v>
      </c>
      <c r="N264">
        <f>MONTH(Table1[[#This Row],[Order date ]])</f>
        <v>9</v>
      </c>
      <c r="O264" t="str">
        <f>TEXT(Table1[[#This Row],[Order date ]],"mmm")</f>
        <v>سبتمبر</v>
      </c>
      <c r="P264">
        <f>ROUNDUP(Table1[[#This Row],[month]]/3,0)</f>
        <v>3</v>
      </c>
      <c r="Q264" t="str">
        <f>"Q"&amp;ROUNDUP(Table1[[#This Row],[month]]/3,0)</f>
        <v>Q3</v>
      </c>
    </row>
    <row r="265" spans="5:17" x14ac:dyDescent="0.25">
      <c r="E265">
        <v>261</v>
      </c>
      <c r="F265" t="s">
        <v>31</v>
      </c>
      <c r="G265" t="s">
        <v>37</v>
      </c>
      <c r="H265" t="s">
        <v>23</v>
      </c>
      <c r="I265">
        <v>10129</v>
      </c>
      <c r="J265">
        <v>312</v>
      </c>
      <c r="K265" s="8">
        <v>45187</v>
      </c>
      <c r="L265">
        <f>Table1[[#This Row],[unit price]]*Table1[[#This Row],[Units]]</f>
        <v>3160248</v>
      </c>
      <c r="M265" t="str">
        <f>TEXT(Table1[[#This Row],[Order date ]],"dddd")</f>
        <v>الإثنين</v>
      </c>
      <c r="N265">
        <f>MONTH(Table1[[#This Row],[Order date ]])</f>
        <v>9</v>
      </c>
      <c r="O265" t="str">
        <f>TEXT(Table1[[#This Row],[Order date ]],"mmm")</f>
        <v>سبتمبر</v>
      </c>
      <c r="P265">
        <f>ROUNDUP(Table1[[#This Row],[month]]/3,0)</f>
        <v>3</v>
      </c>
      <c r="Q265" t="str">
        <f>"Q"&amp;ROUNDUP(Table1[[#This Row],[month]]/3,0)</f>
        <v>Q3</v>
      </c>
    </row>
    <row r="266" spans="5:17" x14ac:dyDescent="0.25">
      <c r="E266">
        <v>262</v>
      </c>
      <c r="F266" t="s">
        <v>34</v>
      </c>
      <c r="G266" t="s">
        <v>43</v>
      </c>
      <c r="H266" t="s">
        <v>21</v>
      </c>
      <c r="I266">
        <v>1652</v>
      </c>
      <c r="J266">
        <v>102</v>
      </c>
      <c r="K266" s="8">
        <v>45188</v>
      </c>
      <c r="L266">
        <f>Table1[[#This Row],[unit price]]*Table1[[#This Row],[Units]]</f>
        <v>168504</v>
      </c>
      <c r="M266" t="str">
        <f>TEXT(Table1[[#This Row],[Order date ]],"dddd")</f>
        <v>الثلاثاء</v>
      </c>
      <c r="N266">
        <f>MONTH(Table1[[#This Row],[Order date ]])</f>
        <v>9</v>
      </c>
      <c r="O266" t="str">
        <f>TEXT(Table1[[#This Row],[Order date ]],"mmm")</f>
        <v>سبتمبر</v>
      </c>
      <c r="P266">
        <f>ROUNDUP(Table1[[#This Row],[month]]/3,0)</f>
        <v>3</v>
      </c>
      <c r="Q266" t="str">
        <f>"Q"&amp;ROUNDUP(Table1[[#This Row],[month]]/3,0)</f>
        <v>Q3</v>
      </c>
    </row>
    <row r="267" spans="5:17" x14ac:dyDescent="0.25">
      <c r="E267">
        <v>263</v>
      </c>
      <c r="F267" t="s">
        <v>29</v>
      </c>
      <c r="G267" t="s">
        <v>37</v>
      </c>
      <c r="H267" t="s">
        <v>14</v>
      </c>
      <c r="I267">
        <v>6433</v>
      </c>
      <c r="J267">
        <v>78</v>
      </c>
      <c r="K267" s="8">
        <v>45189</v>
      </c>
      <c r="L267">
        <f>Table1[[#This Row],[unit price]]*Table1[[#This Row],[Units]]</f>
        <v>501774</v>
      </c>
      <c r="M267" t="str">
        <f>TEXT(Table1[[#This Row],[Order date ]],"dddd")</f>
        <v>الأربعاء</v>
      </c>
      <c r="N267">
        <f>MONTH(Table1[[#This Row],[Order date ]])</f>
        <v>9</v>
      </c>
      <c r="O267" t="str">
        <f>TEXT(Table1[[#This Row],[Order date ]],"mmm")</f>
        <v>سبتمبر</v>
      </c>
      <c r="P267">
        <f>ROUNDUP(Table1[[#This Row],[month]]/3,0)</f>
        <v>3</v>
      </c>
      <c r="Q267" t="str">
        <f>"Q"&amp;ROUNDUP(Table1[[#This Row],[month]]/3,0)</f>
        <v>Q3</v>
      </c>
    </row>
    <row r="268" spans="5:17" x14ac:dyDescent="0.25">
      <c r="E268">
        <v>264</v>
      </c>
      <c r="F268" t="s">
        <v>34</v>
      </c>
      <c r="G268" t="s">
        <v>39</v>
      </c>
      <c r="H268" t="s">
        <v>16</v>
      </c>
      <c r="I268">
        <v>2212</v>
      </c>
      <c r="J268">
        <v>117</v>
      </c>
      <c r="K268" s="8">
        <v>45190</v>
      </c>
      <c r="L268">
        <f>Table1[[#This Row],[unit price]]*Table1[[#This Row],[Units]]</f>
        <v>258804</v>
      </c>
      <c r="M268" t="str">
        <f>TEXT(Table1[[#This Row],[Order date ]],"dddd")</f>
        <v>الخميس</v>
      </c>
      <c r="N268">
        <f>MONTH(Table1[[#This Row],[Order date ]])</f>
        <v>9</v>
      </c>
      <c r="O268" t="str">
        <f>TEXT(Table1[[#This Row],[Order date ]],"mmm")</f>
        <v>سبتمبر</v>
      </c>
      <c r="P268">
        <f>ROUNDUP(Table1[[#This Row],[month]]/3,0)</f>
        <v>3</v>
      </c>
      <c r="Q268" t="str">
        <f>"Q"&amp;ROUNDUP(Table1[[#This Row],[month]]/3,0)</f>
        <v>Q3</v>
      </c>
    </row>
    <row r="269" spans="5:17" x14ac:dyDescent="0.25">
      <c r="E269">
        <v>265</v>
      </c>
      <c r="F269" t="s">
        <v>30</v>
      </c>
      <c r="G269" t="s">
        <v>45</v>
      </c>
      <c r="H269" t="s">
        <v>12</v>
      </c>
      <c r="I269">
        <v>609</v>
      </c>
      <c r="J269">
        <v>99</v>
      </c>
      <c r="K269" s="8">
        <v>45191</v>
      </c>
      <c r="L269">
        <f>Table1[[#This Row],[unit price]]*Table1[[#This Row],[Units]]</f>
        <v>60291</v>
      </c>
      <c r="M269" t="str">
        <f>TEXT(Table1[[#This Row],[Order date ]],"dddd")</f>
        <v>الجمعة</v>
      </c>
      <c r="N269">
        <f>MONTH(Table1[[#This Row],[Order date ]])</f>
        <v>9</v>
      </c>
      <c r="O269" t="str">
        <f>TEXT(Table1[[#This Row],[Order date ]],"mmm")</f>
        <v>سبتمبر</v>
      </c>
      <c r="P269">
        <f>ROUNDUP(Table1[[#This Row],[month]]/3,0)</f>
        <v>3</v>
      </c>
      <c r="Q269" t="str">
        <f>"Q"&amp;ROUNDUP(Table1[[#This Row],[month]]/3,0)</f>
        <v>Q3</v>
      </c>
    </row>
    <row r="270" spans="5:17" x14ac:dyDescent="0.25">
      <c r="E270">
        <v>266</v>
      </c>
      <c r="F270" t="s">
        <v>36</v>
      </c>
      <c r="G270" t="s">
        <v>45</v>
      </c>
      <c r="H270" t="s">
        <v>17</v>
      </c>
      <c r="I270">
        <v>1638</v>
      </c>
      <c r="J270">
        <v>48</v>
      </c>
      <c r="K270" s="8">
        <v>45192</v>
      </c>
      <c r="L270">
        <f>Table1[[#This Row],[unit price]]*Table1[[#This Row],[Units]]</f>
        <v>78624</v>
      </c>
      <c r="M270" t="str">
        <f>TEXT(Table1[[#This Row],[Order date ]],"dddd")</f>
        <v>السبت</v>
      </c>
      <c r="N270">
        <f>MONTH(Table1[[#This Row],[Order date ]])</f>
        <v>9</v>
      </c>
      <c r="O270" t="str">
        <f>TEXT(Table1[[#This Row],[Order date ]],"mmm")</f>
        <v>سبتمبر</v>
      </c>
      <c r="P270">
        <f>ROUNDUP(Table1[[#This Row],[month]]/3,0)</f>
        <v>3</v>
      </c>
      <c r="Q270" t="str">
        <f>"Q"&amp;ROUNDUP(Table1[[#This Row],[month]]/3,0)</f>
        <v>Q3</v>
      </c>
    </row>
    <row r="271" spans="5:17" x14ac:dyDescent="0.25">
      <c r="E271">
        <v>267</v>
      </c>
      <c r="F271" t="s">
        <v>31</v>
      </c>
      <c r="G271" t="s">
        <v>39</v>
      </c>
      <c r="H271" t="s">
        <v>8</v>
      </c>
      <c r="I271">
        <v>3829</v>
      </c>
      <c r="J271">
        <v>24</v>
      </c>
      <c r="K271" s="8">
        <v>45193</v>
      </c>
      <c r="L271">
        <f>Table1[[#This Row],[unit price]]*Table1[[#This Row],[Units]]</f>
        <v>91896</v>
      </c>
      <c r="M271" t="str">
        <f>TEXT(Table1[[#This Row],[Order date ]],"dddd")</f>
        <v>الأحد</v>
      </c>
      <c r="N271">
        <f>MONTH(Table1[[#This Row],[Order date ]])</f>
        <v>9</v>
      </c>
      <c r="O271" t="str">
        <f>TEXT(Table1[[#This Row],[Order date ]],"mmm")</f>
        <v>سبتمبر</v>
      </c>
      <c r="P271">
        <f>ROUNDUP(Table1[[#This Row],[month]]/3,0)</f>
        <v>3</v>
      </c>
      <c r="Q271" t="str">
        <f>"Q"&amp;ROUNDUP(Table1[[#This Row],[month]]/3,0)</f>
        <v>Q3</v>
      </c>
    </row>
    <row r="272" spans="5:17" x14ac:dyDescent="0.25">
      <c r="E272">
        <v>268</v>
      </c>
      <c r="F272" t="s">
        <v>36</v>
      </c>
      <c r="G272" t="s">
        <v>43</v>
      </c>
      <c r="H272" t="s">
        <v>8</v>
      </c>
      <c r="I272">
        <v>5775</v>
      </c>
      <c r="J272">
        <v>42</v>
      </c>
      <c r="K272" s="8">
        <v>45194</v>
      </c>
      <c r="L272">
        <f>Table1[[#This Row],[unit price]]*Table1[[#This Row],[Units]]</f>
        <v>242550</v>
      </c>
      <c r="M272" t="str">
        <f>TEXT(Table1[[#This Row],[Order date ]],"dddd")</f>
        <v>الإثنين</v>
      </c>
      <c r="N272">
        <f>MONTH(Table1[[#This Row],[Order date ]])</f>
        <v>9</v>
      </c>
      <c r="O272" t="str">
        <f>TEXT(Table1[[#This Row],[Order date ]],"mmm")</f>
        <v>سبتمبر</v>
      </c>
      <c r="P272">
        <f>ROUNDUP(Table1[[#This Row],[month]]/3,0)</f>
        <v>3</v>
      </c>
      <c r="Q272" t="str">
        <f>"Q"&amp;ROUNDUP(Table1[[#This Row],[month]]/3,0)</f>
        <v>Q3</v>
      </c>
    </row>
    <row r="273" spans="5:17" x14ac:dyDescent="0.25">
      <c r="E273">
        <v>269</v>
      </c>
      <c r="F273" t="s">
        <v>32</v>
      </c>
      <c r="G273" t="s">
        <v>45</v>
      </c>
      <c r="H273" t="s">
        <v>13</v>
      </c>
      <c r="I273">
        <v>1071</v>
      </c>
      <c r="J273">
        <v>270</v>
      </c>
      <c r="K273" s="8">
        <v>45195</v>
      </c>
      <c r="L273">
        <f>Table1[[#This Row],[unit price]]*Table1[[#This Row],[Units]]</f>
        <v>289170</v>
      </c>
      <c r="M273" t="str">
        <f>TEXT(Table1[[#This Row],[Order date ]],"dddd")</f>
        <v>الثلاثاء</v>
      </c>
      <c r="N273">
        <f>MONTH(Table1[[#This Row],[Order date ]])</f>
        <v>9</v>
      </c>
      <c r="O273" t="str">
        <f>TEXT(Table1[[#This Row],[Order date ]],"mmm")</f>
        <v>سبتمبر</v>
      </c>
      <c r="P273">
        <f>ROUNDUP(Table1[[#This Row],[month]]/3,0)</f>
        <v>3</v>
      </c>
      <c r="Q273" t="str">
        <f>"Q"&amp;ROUNDUP(Table1[[#This Row],[month]]/3,0)</f>
        <v>Q3</v>
      </c>
    </row>
    <row r="274" spans="5:17" x14ac:dyDescent="0.25">
      <c r="E274">
        <v>270</v>
      </c>
      <c r="F274" t="s">
        <v>29</v>
      </c>
      <c r="G274" t="s">
        <v>38</v>
      </c>
      <c r="H274" t="s">
        <v>16</v>
      </c>
      <c r="I274">
        <v>5019</v>
      </c>
      <c r="J274">
        <v>150</v>
      </c>
      <c r="K274" s="8">
        <v>45196</v>
      </c>
      <c r="L274">
        <f>Table1[[#This Row],[unit price]]*Table1[[#This Row],[Units]]</f>
        <v>752850</v>
      </c>
      <c r="M274" t="str">
        <f>TEXT(Table1[[#This Row],[Order date ]],"dddd")</f>
        <v>الأربعاء</v>
      </c>
      <c r="N274">
        <f>MONTH(Table1[[#This Row],[Order date ]])</f>
        <v>9</v>
      </c>
      <c r="O274" t="str">
        <f>TEXT(Table1[[#This Row],[Order date ]],"mmm")</f>
        <v>سبتمبر</v>
      </c>
      <c r="P274">
        <f>ROUNDUP(Table1[[#This Row],[month]]/3,0)</f>
        <v>3</v>
      </c>
      <c r="Q274" t="str">
        <f>"Q"&amp;ROUNDUP(Table1[[#This Row],[month]]/3,0)</f>
        <v>Q3</v>
      </c>
    </row>
    <row r="275" spans="5:17" x14ac:dyDescent="0.25">
      <c r="E275">
        <v>271</v>
      </c>
      <c r="F275" t="s">
        <v>28</v>
      </c>
      <c r="G275" t="s">
        <v>40</v>
      </c>
      <c r="H275" t="s">
        <v>8</v>
      </c>
      <c r="I275">
        <v>2863</v>
      </c>
      <c r="J275">
        <v>42</v>
      </c>
      <c r="K275" s="8">
        <v>45197</v>
      </c>
      <c r="L275">
        <f>Table1[[#This Row],[unit price]]*Table1[[#This Row],[Units]]</f>
        <v>120246</v>
      </c>
      <c r="M275" t="str">
        <f>TEXT(Table1[[#This Row],[Order date ]],"dddd")</f>
        <v>الخميس</v>
      </c>
      <c r="N275">
        <f>MONTH(Table1[[#This Row],[Order date ]])</f>
        <v>9</v>
      </c>
      <c r="O275" t="str">
        <f>TEXT(Table1[[#This Row],[Order date ]],"mmm")</f>
        <v>سبتمبر</v>
      </c>
      <c r="P275">
        <f>ROUNDUP(Table1[[#This Row],[month]]/3,0)</f>
        <v>3</v>
      </c>
      <c r="Q275" t="str">
        <f>"Q"&amp;ROUNDUP(Table1[[#This Row],[month]]/3,0)</f>
        <v>Q3</v>
      </c>
    </row>
    <row r="276" spans="5:17" x14ac:dyDescent="0.25">
      <c r="E276">
        <v>272</v>
      </c>
      <c r="F276" t="s">
        <v>36</v>
      </c>
      <c r="G276" t="s">
        <v>45</v>
      </c>
      <c r="H276" t="s">
        <v>22</v>
      </c>
      <c r="I276">
        <v>1617</v>
      </c>
      <c r="J276">
        <v>126</v>
      </c>
      <c r="K276" s="8">
        <v>45198</v>
      </c>
      <c r="L276">
        <f>Table1[[#This Row],[unit price]]*Table1[[#This Row],[Units]]</f>
        <v>203742</v>
      </c>
      <c r="M276" t="str">
        <f>TEXT(Table1[[#This Row],[Order date ]],"dddd")</f>
        <v>الجمعة</v>
      </c>
      <c r="N276">
        <f>MONTH(Table1[[#This Row],[Order date ]])</f>
        <v>9</v>
      </c>
      <c r="O276" t="str">
        <f>TEXT(Table1[[#This Row],[Order date ]],"mmm")</f>
        <v>سبتمبر</v>
      </c>
      <c r="P276">
        <f>ROUNDUP(Table1[[#This Row],[month]]/3,0)</f>
        <v>3</v>
      </c>
      <c r="Q276" t="str">
        <f>"Q"&amp;ROUNDUP(Table1[[#This Row],[month]]/3,0)</f>
        <v>Q3</v>
      </c>
    </row>
    <row r="277" spans="5:17" x14ac:dyDescent="0.25">
      <c r="E277">
        <v>273</v>
      </c>
      <c r="F277" t="s">
        <v>32</v>
      </c>
      <c r="G277" t="s">
        <v>40</v>
      </c>
      <c r="H277" t="s">
        <v>19</v>
      </c>
      <c r="I277">
        <v>6818</v>
      </c>
      <c r="J277">
        <v>6</v>
      </c>
      <c r="K277" s="8">
        <v>45199</v>
      </c>
      <c r="L277">
        <f>Table1[[#This Row],[unit price]]*Table1[[#This Row],[Units]]</f>
        <v>40908</v>
      </c>
      <c r="M277" t="str">
        <f>TEXT(Table1[[#This Row],[Order date ]],"dddd")</f>
        <v>السبت</v>
      </c>
      <c r="N277">
        <f>MONTH(Table1[[#This Row],[Order date ]])</f>
        <v>9</v>
      </c>
      <c r="O277" t="str">
        <f>TEXT(Table1[[#This Row],[Order date ]],"mmm")</f>
        <v>سبتمبر</v>
      </c>
      <c r="P277">
        <f>ROUNDUP(Table1[[#This Row],[month]]/3,0)</f>
        <v>3</v>
      </c>
      <c r="Q277" t="str">
        <f>"Q"&amp;ROUNDUP(Table1[[#This Row],[month]]/3,0)</f>
        <v>Q3</v>
      </c>
    </row>
    <row r="278" spans="5:17" x14ac:dyDescent="0.25">
      <c r="E278">
        <v>274</v>
      </c>
      <c r="F278" t="s">
        <v>34</v>
      </c>
      <c r="G278" t="s">
        <v>45</v>
      </c>
      <c r="H278" t="s">
        <v>8</v>
      </c>
      <c r="I278">
        <v>6657</v>
      </c>
      <c r="J278">
        <v>276</v>
      </c>
      <c r="K278" s="8">
        <v>45200</v>
      </c>
      <c r="L278">
        <f>Table1[[#This Row],[unit price]]*Table1[[#This Row],[Units]]</f>
        <v>1837332</v>
      </c>
      <c r="M278" t="str">
        <f>TEXT(Table1[[#This Row],[Order date ]],"dddd")</f>
        <v>الأحد</v>
      </c>
      <c r="N278">
        <f>MONTH(Table1[[#This Row],[Order date ]])</f>
        <v>10</v>
      </c>
      <c r="O278" t="str">
        <f>TEXT(Table1[[#This Row],[Order date ]],"mmm")</f>
        <v>أكتوبر</v>
      </c>
      <c r="P278">
        <f>ROUNDUP(Table1[[#This Row],[month]]/3,0)</f>
        <v>4</v>
      </c>
      <c r="Q278" t="str">
        <f>"Q"&amp;ROUNDUP(Table1[[#This Row],[month]]/3,0)</f>
        <v>Q4</v>
      </c>
    </row>
    <row r="279" spans="5:17" x14ac:dyDescent="0.25">
      <c r="E279">
        <v>275</v>
      </c>
      <c r="F279" t="s">
        <v>34</v>
      </c>
      <c r="G279" t="s">
        <v>39</v>
      </c>
      <c r="H279" t="s">
        <v>10</v>
      </c>
      <c r="I279">
        <v>2919</v>
      </c>
      <c r="J279">
        <v>93</v>
      </c>
      <c r="K279" s="8">
        <v>45201</v>
      </c>
      <c r="L279">
        <f>Table1[[#This Row],[unit price]]*Table1[[#This Row],[Units]]</f>
        <v>271467</v>
      </c>
      <c r="M279" t="str">
        <f>TEXT(Table1[[#This Row],[Order date ]],"dddd")</f>
        <v>الإثنين</v>
      </c>
      <c r="N279">
        <f>MONTH(Table1[[#This Row],[Order date ]])</f>
        <v>10</v>
      </c>
      <c r="O279" t="str">
        <f>TEXT(Table1[[#This Row],[Order date ]],"mmm")</f>
        <v>أكتوبر</v>
      </c>
      <c r="P279">
        <f>ROUNDUP(Table1[[#This Row],[month]]/3,0)</f>
        <v>4</v>
      </c>
      <c r="Q279" t="str">
        <f>"Q"&amp;ROUNDUP(Table1[[#This Row],[month]]/3,0)</f>
        <v>Q4</v>
      </c>
    </row>
    <row r="280" spans="5:17" x14ac:dyDescent="0.25">
      <c r="E280">
        <v>276</v>
      </c>
      <c r="F280" t="s">
        <v>28</v>
      </c>
      <c r="G280" t="s">
        <v>38</v>
      </c>
      <c r="H280" t="s">
        <v>24</v>
      </c>
      <c r="I280">
        <v>3094</v>
      </c>
      <c r="J280">
        <v>246</v>
      </c>
      <c r="K280" s="8">
        <v>45202</v>
      </c>
      <c r="L280">
        <f>Table1[[#This Row],[unit price]]*Table1[[#This Row],[Units]]</f>
        <v>761124</v>
      </c>
      <c r="M280" t="str">
        <f>TEXT(Table1[[#This Row],[Order date ]],"dddd")</f>
        <v>الثلاثاء</v>
      </c>
      <c r="N280">
        <f>MONTH(Table1[[#This Row],[Order date ]])</f>
        <v>10</v>
      </c>
      <c r="O280" t="str">
        <f>TEXT(Table1[[#This Row],[Order date ]],"mmm")</f>
        <v>أكتوبر</v>
      </c>
      <c r="P280">
        <f>ROUNDUP(Table1[[#This Row],[month]]/3,0)</f>
        <v>4</v>
      </c>
      <c r="Q280" t="str">
        <f>"Q"&amp;ROUNDUP(Table1[[#This Row],[month]]/3,0)</f>
        <v>Q4</v>
      </c>
    </row>
    <row r="281" spans="5:17" x14ac:dyDescent="0.25">
      <c r="E281">
        <v>277</v>
      </c>
      <c r="F281" t="s">
        <v>32</v>
      </c>
      <c r="G281" t="s">
        <v>43</v>
      </c>
      <c r="H281" t="s">
        <v>17</v>
      </c>
      <c r="I281">
        <v>2989</v>
      </c>
      <c r="J281">
        <v>3</v>
      </c>
      <c r="K281" s="8">
        <v>45203</v>
      </c>
      <c r="L281">
        <f>Table1[[#This Row],[unit price]]*Table1[[#This Row],[Units]]</f>
        <v>8967</v>
      </c>
      <c r="M281" t="str">
        <f>TEXT(Table1[[#This Row],[Order date ]],"dddd")</f>
        <v>الأربعاء</v>
      </c>
      <c r="N281">
        <f>MONTH(Table1[[#This Row],[Order date ]])</f>
        <v>10</v>
      </c>
      <c r="O281" t="str">
        <f>TEXT(Table1[[#This Row],[Order date ]],"mmm")</f>
        <v>أكتوبر</v>
      </c>
      <c r="P281">
        <f>ROUNDUP(Table1[[#This Row],[month]]/3,0)</f>
        <v>4</v>
      </c>
      <c r="Q281" t="str">
        <f>"Q"&amp;ROUNDUP(Table1[[#This Row],[month]]/3,0)</f>
        <v>Q4</v>
      </c>
    </row>
    <row r="282" spans="5:17" x14ac:dyDescent="0.25">
      <c r="E282">
        <v>278</v>
      </c>
      <c r="F282" t="s">
        <v>29</v>
      </c>
      <c r="G282" t="s">
        <v>37</v>
      </c>
      <c r="H282" t="s">
        <v>20</v>
      </c>
      <c r="I282">
        <v>2268</v>
      </c>
      <c r="J282">
        <v>63</v>
      </c>
      <c r="K282" s="8">
        <v>45204</v>
      </c>
      <c r="L282">
        <f>Table1[[#This Row],[unit price]]*Table1[[#This Row],[Units]]</f>
        <v>142884</v>
      </c>
      <c r="M282" t="str">
        <f>TEXT(Table1[[#This Row],[Order date ]],"dddd")</f>
        <v>الخميس</v>
      </c>
      <c r="N282">
        <f>MONTH(Table1[[#This Row],[Order date ]])</f>
        <v>10</v>
      </c>
      <c r="O282" t="str">
        <f>TEXT(Table1[[#This Row],[Order date ]],"mmm")</f>
        <v>أكتوبر</v>
      </c>
      <c r="P282">
        <f>ROUNDUP(Table1[[#This Row],[month]]/3,0)</f>
        <v>4</v>
      </c>
      <c r="Q282" t="str">
        <f>"Q"&amp;ROUNDUP(Table1[[#This Row],[month]]/3,0)</f>
        <v>Q4</v>
      </c>
    </row>
    <row r="283" spans="5:17" x14ac:dyDescent="0.25">
      <c r="E283">
        <v>279</v>
      </c>
      <c r="F283" t="s">
        <v>33</v>
      </c>
      <c r="G283" t="s">
        <v>45</v>
      </c>
      <c r="H283" t="s">
        <v>24</v>
      </c>
      <c r="I283">
        <v>4753</v>
      </c>
      <c r="J283">
        <v>246</v>
      </c>
      <c r="K283" s="8">
        <v>45205</v>
      </c>
      <c r="L283">
        <f>Table1[[#This Row],[unit price]]*Table1[[#This Row],[Units]]</f>
        <v>1169238</v>
      </c>
      <c r="M283" t="str">
        <f>TEXT(Table1[[#This Row],[Order date ]],"dddd")</f>
        <v>الجمعة</v>
      </c>
      <c r="N283">
        <f>MONTH(Table1[[#This Row],[Order date ]])</f>
        <v>10</v>
      </c>
      <c r="O283" t="str">
        <f>TEXT(Table1[[#This Row],[Order date ]],"mmm")</f>
        <v>أكتوبر</v>
      </c>
      <c r="P283">
        <f>ROUNDUP(Table1[[#This Row],[month]]/3,0)</f>
        <v>4</v>
      </c>
      <c r="Q283" t="str">
        <f>"Q"&amp;ROUNDUP(Table1[[#This Row],[month]]/3,0)</f>
        <v>Q4</v>
      </c>
    </row>
    <row r="284" spans="5:17" x14ac:dyDescent="0.25">
      <c r="E284">
        <v>280</v>
      </c>
      <c r="F284" t="s">
        <v>28</v>
      </c>
      <c r="G284" t="s">
        <v>39</v>
      </c>
      <c r="H284" t="s">
        <v>12</v>
      </c>
      <c r="I284">
        <v>7511</v>
      </c>
      <c r="J284">
        <v>120</v>
      </c>
      <c r="K284" s="8">
        <v>45206</v>
      </c>
      <c r="L284">
        <f>Table1[[#This Row],[unit price]]*Table1[[#This Row],[Units]]</f>
        <v>901320</v>
      </c>
      <c r="M284" t="str">
        <f>TEXT(Table1[[#This Row],[Order date ]],"dddd")</f>
        <v>السبت</v>
      </c>
      <c r="N284">
        <f>MONTH(Table1[[#This Row],[Order date ]])</f>
        <v>10</v>
      </c>
      <c r="O284" t="str">
        <f>TEXT(Table1[[#This Row],[Order date ]],"mmm")</f>
        <v>أكتوبر</v>
      </c>
      <c r="P284">
        <f>ROUNDUP(Table1[[#This Row],[month]]/3,0)</f>
        <v>4</v>
      </c>
      <c r="Q284" t="str">
        <f>"Q"&amp;ROUNDUP(Table1[[#This Row],[month]]/3,0)</f>
        <v>Q4</v>
      </c>
    </row>
    <row r="285" spans="5:17" x14ac:dyDescent="0.25">
      <c r="E285">
        <v>281</v>
      </c>
      <c r="F285" t="s">
        <v>28</v>
      </c>
      <c r="G285" t="s">
        <v>37</v>
      </c>
      <c r="H285" t="s">
        <v>24</v>
      </c>
      <c r="I285">
        <v>4326</v>
      </c>
      <c r="J285">
        <v>348</v>
      </c>
      <c r="K285" s="8">
        <v>45207</v>
      </c>
      <c r="L285">
        <f>Table1[[#This Row],[unit price]]*Table1[[#This Row],[Units]]</f>
        <v>1505448</v>
      </c>
      <c r="M285" t="str">
        <f>TEXT(Table1[[#This Row],[Order date ]],"dddd")</f>
        <v>الأحد</v>
      </c>
      <c r="N285">
        <f>MONTH(Table1[[#This Row],[Order date ]])</f>
        <v>10</v>
      </c>
      <c r="O285" t="str">
        <f>TEXT(Table1[[#This Row],[Order date ]],"mmm")</f>
        <v>أكتوبر</v>
      </c>
      <c r="P285">
        <f>ROUNDUP(Table1[[#This Row],[month]]/3,0)</f>
        <v>4</v>
      </c>
      <c r="Q285" t="str">
        <f>"Q"&amp;ROUNDUP(Table1[[#This Row],[month]]/3,0)</f>
        <v>Q4</v>
      </c>
    </row>
    <row r="286" spans="5:17" x14ac:dyDescent="0.25">
      <c r="E286">
        <v>282</v>
      </c>
      <c r="F286" t="s">
        <v>30</v>
      </c>
      <c r="G286" t="s">
        <v>39</v>
      </c>
      <c r="H286" t="s">
        <v>16</v>
      </c>
      <c r="I286">
        <v>4935</v>
      </c>
      <c r="J286">
        <v>126</v>
      </c>
      <c r="K286" s="8">
        <v>45208</v>
      </c>
      <c r="L286">
        <f>Table1[[#This Row],[unit price]]*Table1[[#This Row],[Units]]</f>
        <v>621810</v>
      </c>
      <c r="M286" t="str">
        <f>TEXT(Table1[[#This Row],[Order date ]],"dddd")</f>
        <v>الإثنين</v>
      </c>
      <c r="N286">
        <f>MONTH(Table1[[#This Row],[Order date ]])</f>
        <v>10</v>
      </c>
      <c r="O286" t="str">
        <f>TEXT(Table1[[#This Row],[Order date ]],"mmm")</f>
        <v>أكتوبر</v>
      </c>
      <c r="P286">
        <f>ROUNDUP(Table1[[#This Row],[month]]/3,0)</f>
        <v>4</v>
      </c>
      <c r="Q286" t="str">
        <f>"Q"&amp;ROUNDUP(Table1[[#This Row],[month]]/3,0)</f>
        <v>Q4</v>
      </c>
    </row>
    <row r="287" spans="5:17" x14ac:dyDescent="0.25">
      <c r="E287">
        <v>283</v>
      </c>
      <c r="F287" t="s">
        <v>32</v>
      </c>
      <c r="G287" t="s">
        <v>45</v>
      </c>
      <c r="H287" t="s">
        <v>23</v>
      </c>
      <c r="I287">
        <v>4781</v>
      </c>
      <c r="J287">
        <v>123</v>
      </c>
      <c r="K287" s="8">
        <v>45209</v>
      </c>
      <c r="L287">
        <f>Table1[[#This Row],[unit price]]*Table1[[#This Row],[Units]]</f>
        <v>588063</v>
      </c>
      <c r="M287" t="str">
        <f>TEXT(Table1[[#This Row],[Order date ]],"dddd")</f>
        <v>الثلاثاء</v>
      </c>
      <c r="N287">
        <f>MONTH(Table1[[#This Row],[Order date ]])</f>
        <v>10</v>
      </c>
      <c r="O287" t="str">
        <f>TEXT(Table1[[#This Row],[Order date ]],"mmm")</f>
        <v>أكتوبر</v>
      </c>
      <c r="P287">
        <f>ROUNDUP(Table1[[#This Row],[month]]/3,0)</f>
        <v>4</v>
      </c>
      <c r="Q287" t="str">
        <f>"Q"&amp;ROUNDUP(Table1[[#This Row],[month]]/3,0)</f>
        <v>Q4</v>
      </c>
    </row>
    <row r="288" spans="5:17" x14ac:dyDescent="0.25">
      <c r="E288">
        <v>284</v>
      </c>
      <c r="F288" t="s">
        <v>33</v>
      </c>
      <c r="G288" t="s">
        <v>37</v>
      </c>
      <c r="H288" t="s">
        <v>18</v>
      </c>
      <c r="I288">
        <v>7483</v>
      </c>
      <c r="J288">
        <v>45</v>
      </c>
      <c r="K288" s="8">
        <v>45210</v>
      </c>
      <c r="L288">
        <f>Table1[[#This Row],[unit price]]*Table1[[#This Row],[Units]]</f>
        <v>336735</v>
      </c>
      <c r="M288" t="str">
        <f>TEXT(Table1[[#This Row],[Order date ]],"dddd")</f>
        <v>الأربعاء</v>
      </c>
      <c r="N288">
        <f>MONTH(Table1[[#This Row],[Order date ]])</f>
        <v>10</v>
      </c>
      <c r="O288" t="str">
        <f>TEXT(Table1[[#This Row],[Order date ]],"mmm")</f>
        <v>أكتوبر</v>
      </c>
      <c r="P288">
        <f>ROUNDUP(Table1[[#This Row],[month]]/3,0)</f>
        <v>4</v>
      </c>
      <c r="Q288" t="str">
        <f>"Q"&amp;ROUNDUP(Table1[[#This Row],[month]]/3,0)</f>
        <v>Q4</v>
      </c>
    </row>
    <row r="289" spans="5:17" x14ac:dyDescent="0.25">
      <c r="E289">
        <v>285</v>
      </c>
      <c r="F289" t="s">
        <v>35</v>
      </c>
      <c r="G289" t="s">
        <v>37</v>
      </c>
      <c r="H289" t="s">
        <v>2</v>
      </c>
      <c r="I289">
        <v>6860</v>
      </c>
      <c r="J289">
        <v>126</v>
      </c>
      <c r="K289" s="8">
        <v>45211</v>
      </c>
      <c r="L289">
        <f>Table1[[#This Row],[unit price]]*Table1[[#This Row],[Units]]</f>
        <v>864360</v>
      </c>
      <c r="M289" t="str">
        <f>TEXT(Table1[[#This Row],[Order date ]],"dddd")</f>
        <v>الخميس</v>
      </c>
      <c r="N289">
        <f>MONTH(Table1[[#This Row],[Order date ]])</f>
        <v>10</v>
      </c>
      <c r="O289" t="str">
        <f>TEXT(Table1[[#This Row],[Order date ]],"mmm")</f>
        <v>أكتوبر</v>
      </c>
      <c r="P289">
        <f>ROUNDUP(Table1[[#This Row],[month]]/3,0)</f>
        <v>4</v>
      </c>
      <c r="Q289" t="str">
        <f>"Q"&amp;ROUNDUP(Table1[[#This Row],[month]]/3,0)</f>
        <v>Q4</v>
      </c>
    </row>
    <row r="290" spans="5:17" x14ac:dyDescent="0.25">
      <c r="E290">
        <v>286</v>
      </c>
      <c r="F290" t="s">
        <v>36</v>
      </c>
      <c r="G290" t="s">
        <v>40</v>
      </c>
      <c r="H290" t="s">
        <v>22</v>
      </c>
      <c r="I290">
        <v>9002</v>
      </c>
      <c r="J290">
        <v>72</v>
      </c>
      <c r="K290" s="8">
        <v>45212</v>
      </c>
      <c r="L290">
        <f>Table1[[#This Row],[unit price]]*Table1[[#This Row],[Units]]</f>
        <v>648144</v>
      </c>
      <c r="M290" t="str">
        <f>TEXT(Table1[[#This Row],[Order date ]],"dddd")</f>
        <v>الجمعة</v>
      </c>
      <c r="N290">
        <f>MONTH(Table1[[#This Row],[Order date ]])</f>
        <v>10</v>
      </c>
      <c r="O290" t="str">
        <f>TEXT(Table1[[#This Row],[Order date ]],"mmm")</f>
        <v>أكتوبر</v>
      </c>
      <c r="P290">
        <f>ROUNDUP(Table1[[#This Row],[month]]/3,0)</f>
        <v>4</v>
      </c>
      <c r="Q290" t="str">
        <f>"Q"&amp;ROUNDUP(Table1[[#This Row],[month]]/3,0)</f>
        <v>Q4</v>
      </c>
    </row>
    <row r="291" spans="5:17" x14ac:dyDescent="0.25">
      <c r="E291">
        <v>287</v>
      </c>
      <c r="F291" t="s">
        <v>32</v>
      </c>
      <c r="G291" t="s">
        <v>38</v>
      </c>
      <c r="H291" t="s">
        <v>22</v>
      </c>
      <c r="I291">
        <v>1400</v>
      </c>
      <c r="J291">
        <v>135</v>
      </c>
      <c r="K291" s="8">
        <v>45213</v>
      </c>
      <c r="L291">
        <f>Table1[[#This Row],[unit price]]*Table1[[#This Row],[Units]]</f>
        <v>189000</v>
      </c>
      <c r="M291" t="str">
        <f>TEXT(Table1[[#This Row],[Order date ]],"dddd")</f>
        <v>السبت</v>
      </c>
      <c r="N291">
        <f>MONTH(Table1[[#This Row],[Order date ]])</f>
        <v>10</v>
      </c>
      <c r="O291" t="str">
        <f>TEXT(Table1[[#This Row],[Order date ]],"mmm")</f>
        <v>أكتوبر</v>
      </c>
      <c r="P291">
        <f>ROUNDUP(Table1[[#This Row],[month]]/3,0)</f>
        <v>4</v>
      </c>
      <c r="Q291" t="str">
        <f>"Q"&amp;ROUNDUP(Table1[[#This Row],[month]]/3,0)</f>
        <v>Q4</v>
      </c>
    </row>
    <row r="292" spans="5:17" x14ac:dyDescent="0.25">
      <c r="E292">
        <v>288</v>
      </c>
      <c r="F292" t="s">
        <v>35</v>
      </c>
      <c r="G292" t="s">
        <v>39</v>
      </c>
      <c r="H292" t="s">
        <v>15</v>
      </c>
      <c r="I292">
        <v>4053</v>
      </c>
      <c r="J292">
        <v>24</v>
      </c>
      <c r="K292" s="8">
        <v>45214</v>
      </c>
      <c r="L292">
        <f>Table1[[#This Row],[unit price]]*Table1[[#This Row],[Units]]</f>
        <v>97272</v>
      </c>
      <c r="M292" t="str">
        <f>TEXT(Table1[[#This Row],[Order date ]],"dddd")</f>
        <v>الأحد</v>
      </c>
      <c r="N292">
        <f>MONTH(Table1[[#This Row],[Order date ]])</f>
        <v>10</v>
      </c>
      <c r="O292" t="str">
        <f>TEXT(Table1[[#This Row],[Order date ]],"mmm")</f>
        <v>أكتوبر</v>
      </c>
      <c r="P292">
        <f>ROUNDUP(Table1[[#This Row],[month]]/3,0)</f>
        <v>4</v>
      </c>
      <c r="Q292" t="str">
        <f>"Q"&amp;ROUNDUP(Table1[[#This Row],[month]]/3,0)</f>
        <v>Q4</v>
      </c>
    </row>
    <row r="293" spans="5:17" x14ac:dyDescent="0.25">
      <c r="E293">
        <v>289</v>
      </c>
      <c r="F293" t="s">
        <v>31</v>
      </c>
      <c r="G293" t="s">
        <v>38</v>
      </c>
      <c r="H293" t="s">
        <v>24</v>
      </c>
      <c r="I293">
        <v>2149</v>
      </c>
      <c r="J293">
        <v>117</v>
      </c>
      <c r="K293" s="8">
        <v>45215</v>
      </c>
      <c r="L293">
        <f>Table1[[#This Row],[unit price]]*Table1[[#This Row],[Units]]</f>
        <v>251433</v>
      </c>
      <c r="M293" t="str">
        <f>TEXT(Table1[[#This Row],[Order date ]],"dddd")</f>
        <v>الإثنين</v>
      </c>
      <c r="N293">
        <f>MONTH(Table1[[#This Row],[Order date ]])</f>
        <v>10</v>
      </c>
      <c r="O293" t="str">
        <f>TEXT(Table1[[#This Row],[Order date ]],"mmm")</f>
        <v>أكتوبر</v>
      </c>
      <c r="P293">
        <f>ROUNDUP(Table1[[#This Row],[month]]/3,0)</f>
        <v>4</v>
      </c>
      <c r="Q293" t="str">
        <f>"Q"&amp;ROUNDUP(Table1[[#This Row],[month]]/3,0)</f>
        <v>Q4</v>
      </c>
    </row>
    <row r="294" spans="5:17" x14ac:dyDescent="0.25">
      <c r="E294">
        <v>290</v>
      </c>
      <c r="F294" t="s">
        <v>34</v>
      </c>
      <c r="G294" t="s">
        <v>43</v>
      </c>
      <c r="H294" t="s">
        <v>22</v>
      </c>
      <c r="I294">
        <v>3640</v>
      </c>
      <c r="J294">
        <v>51</v>
      </c>
      <c r="K294" s="8">
        <v>45216</v>
      </c>
      <c r="L294">
        <f>Table1[[#This Row],[unit price]]*Table1[[#This Row],[Units]]</f>
        <v>185640</v>
      </c>
      <c r="M294" t="str">
        <f>TEXT(Table1[[#This Row],[Order date ]],"dddd")</f>
        <v>الثلاثاء</v>
      </c>
      <c r="N294">
        <f>MONTH(Table1[[#This Row],[Order date ]])</f>
        <v>10</v>
      </c>
      <c r="O294" t="str">
        <f>TEXT(Table1[[#This Row],[Order date ]],"mmm")</f>
        <v>أكتوبر</v>
      </c>
      <c r="P294">
        <f>ROUNDUP(Table1[[#This Row],[month]]/3,0)</f>
        <v>4</v>
      </c>
      <c r="Q294" t="str">
        <f>"Q"&amp;ROUNDUP(Table1[[#This Row],[month]]/3,0)</f>
        <v>Q4</v>
      </c>
    </row>
    <row r="295" spans="5:17" x14ac:dyDescent="0.25">
      <c r="E295">
        <v>291</v>
      </c>
      <c r="F295" t="s">
        <v>28</v>
      </c>
      <c r="G295" t="s">
        <v>43</v>
      </c>
      <c r="H295" t="s">
        <v>16</v>
      </c>
      <c r="I295">
        <v>630</v>
      </c>
      <c r="J295">
        <v>36</v>
      </c>
      <c r="K295" s="8">
        <v>45217</v>
      </c>
      <c r="L295">
        <f>Table1[[#This Row],[unit price]]*Table1[[#This Row],[Units]]</f>
        <v>22680</v>
      </c>
      <c r="M295" t="str">
        <f>TEXT(Table1[[#This Row],[Order date ]],"dddd")</f>
        <v>الأربعاء</v>
      </c>
      <c r="N295">
        <f>MONTH(Table1[[#This Row],[Order date ]])</f>
        <v>10</v>
      </c>
      <c r="O295" t="str">
        <f>TEXT(Table1[[#This Row],[Order date ]],"mmm")</f>
        <v>أكتوبر</v>
      </c>
      <c r="P295">
        <f>ROUNDUP(Table1[[#This Row],[month]]/3,0)</f>
        <v>4</v>
      </c>
      <c r="Q295" t="str">
        <f>"Q"&amp;ROUNDUP(Table1[[#This Row],[month]]/3,0)</f>
        <v>Q4</v>
      </c>
    </row>
    <row r="296" spans="5:17" x14ac:dyDescent="0.25">
      <c r="E296">
        <v>292</v>
      </c>
      <c r="F296" t="s">
        <v>3</v>
      </c>
      <c r="G296" t="s">
        <v>45</v>
      </c>
      <c r="H296" t="s">
        <v>20</v>
      </c>
      <c r="I296">
        <v>2429</v>
      </c>
      <c r="J296">
        <v>144</v>
      </c>
      <c r="K296" s="8">
        <v>45218</v>
      </c>
      <c r="L296">
        <f>Table1[[#This Row],[unit price]]*Table1[[#This Row],[Units]]</f>
        <v>349776</v>
      </c>
      <c r="M296" t="str">
        <f>TEXT(Table1[[#This Row],[Order date ]],"dddd")</f>
        <v>الخميس</v>
      </c>
      <c r="N296">
        <f>MONTH(Table1[[#This Row],[Order date ]])</f>
        <v>10</v>
      </c>
      <c r="O296" t="str">
        <f>TEXT(Table1[[#This Row],[Order date ]],"mmm")</f>
        <v>أكتوبر</v>
      </c>
      <c r="P296">
        <f>ROUNDUP(Table1[[#This Row],[month]]/3,0)</f>
        <v>4</v>
      </c>
      <c r="Q296" t="str">
        <f>"Q"&amp;ROUNDUP(Table1[[#This Row],[month]]/3,0)</f>
        <v>Q4</v>
      </c>
    </row>
    <row r="297" spans="5:17" x14ac:dyDescent="0.25">
      <c r="E297">
        <v>293</v>
      </c>
      <c r="F297" t="s">
        <v>3</v>
      </c>
      <c r="G297" t="s">
        <v>38</v>
      </c>
      <c r="H297" t="s">
        <v>18</v>
      </c>
      <c r="I297">
        <v>2142</v>
      </c>
      <c r="J297">
        <v>114</v>
      </c>
      <c r="K297" s="8">
        <v>45219</v>
      </c>
      <c r="L297">
        <f>Table1[[#This Row],[unit price]]*Table1[[#This Row],[Units]]</f>
        <v>244188</v>
      </c>
      <c r="M297" t="str">
        <f>TEXT(Table1[[#This Row],[Order date ]],"dddd")</f>
        <v>الجمعة</v>
      </c>
      <c r="N297">
        <f>MONTH(Table1[[#This Row],[Order date ]])</f>
        <v>10</v>
      </c>
      <c r="O297" t="str">
        <f>TEXT(Table1[[#This Row],[Order date ]],"mmm")</f>
        <v>أكتوبر</v>
      </c>
      <c r="P297">
        <f>ROUNDUP(Table1[[#This Row],[month]]/3,0)</f>
        <v>4</v>
      </c>
      <c r="Q297" t="str">
        <f>"Q"&amp;ROUNDUP(Table1[[#This Row],[month]]/3,0)</f>
        <v>Q4</v>
      </c>
    </row>
    <row r="298" spans="5:17" x14ac:dyDescent="0.25">
      <c r="E298">
        <v>294</v>
      </c>
      <c r="F298" t="s">
        <v>31</v>
      </c>
      <c r="G298" t="s">
        <v>40</v>
      </c>
      <c r="H298" t="s">
        <v>23</v>
      </c>
      <c r="I298">
        <v>6454</v>
      </c>
      <c r="J298">
        <v>54</v>
      </c>
      <c r="K298" s="8">
        <v>45220</v>
      </c>
      <c r="L298">
        <f>Table1[[#This Row],[unit price]]*Table1[[#This Row],[Units]]</f>
        <v>348516</v>
      </c>
      <c r="M298" t="str">
        <f>TEXT(Table1[[#This Row],[Order date ]],"dddd")</f>
        <v>السبت</v>
      </c>
      <c r="N298">
        <f>MONTH(Table1[[#This Row],[Order date ]])</f>
        <v>10</v>
      </c>
      <c r="O298" t="str">
        <f>TEXT(Table1[[#This Row],[Order date ]],"mmm")</f>
        <v>أكتوبر</v>
      </c>
      <c r="P298">
        <f>ROUNDUP(Table1[[#This Row],[month]]/3,0)</f>
        <v>4</v>
      </c>
      <c r="Q298" t="str">
        <f>"Q"&amp;ROUNDUP(Table1[[#This Row],[month]]/3,0)</f>
        <v>Q4</v>
      </c>
    </row>
    <row r="299" spans="5:17" x14ac:dyDescent="0.25">
      <c r="E299">
        <v>295</v>
      </c>
      <c r="F299" t="s">
        <v>31</v>
      </c>
      <c r="G299" t="s">
        <v>40</v>
      </c>
      <c r="H299" t="s">
        <v>9</v>
      </c>
      <c r="I299">
        <v>4487</v>
      </c>
      <c r="J299">
        <v>333</v>
      </c>
      <c r="K299" s="8">
        <v>45221</v>
      </c>
      <c r="L299">
        <f>Table1[[#This Row],[unit price]]*Table1[[#This Row],[Units]]</f>
        <v>1494171</v>
      </c>
      <c r="M299" t="str">
        <f>TEXT(Table1[[#This Row],[Order date ]],"dddd")</f>
        <v>الأحد</v>
      </c>
      <c r="N299">
        <f>MONTH(Table1[[#This Row],[Order date ]])</f>
        <v>10</v>
      </c>
      <c r="O299" t="str">
        <f>TEXT(Table1[[#This Row],[Order date ]],"mmm")</f>
        <v>أكتوبر</v>
      </c>
      <c r="P299">
        <f>ROUNDUP(Table1[[#This Row],[month]]/3,0)</f>
        <v>4</v>
      </c>
      <c r="Q299" t="str">
        <f>"Q"&amp;ROUNDUP(Table1[[#This Row],[month]]/3,0)</f>
        <v>Q4</v>
      </c>
    </row>
    <row r="300" spans="5:17" x14ac:dyDescent="0.25">
      <c r="E300">
        <v>296</v>
      </c>
      <c r="F300" t="s">
        <v>34</v>
      </c>
      <c r="G300" t="s">
        <v>40</v>
      </c>
      <c r="H300" t="s">
        <v>2</v>
      </c>
      <c r="I300">
        <v>938</v>
      </c>
      <c r="J300">
        <v>366</v>
      </c>
      <c r="K300" s="8">
        <v>45222</v>
      </c>
      <c r="L300">
        <f>Table1[[#This Row],[unit price]]*Table1[[#This Row],[Units]]</f>
        <v>343308</v>
      </c>
      <c r="M300" t="str">
        <f>TEXT(Table1[[#This Row],[Order date ]],"dddd")</f>
        <v>الإثنين</v>
      </c>
      <c r="N300">
        <f>MONTH(Table1[[#This Row],[Order date ]])</f>
        <v>10</v>
      </c>
      <c r="O300" t="str">
        <f>TEXT(Table1[[#This Row],[Order date ]],"mmm")</f>
        <v>أكتوبر</v>
      </c>
      <c r="P300">
        <f>ROUNDUP(Table1[[#This Row],[month]]/3,0)</f>
        <v>4</v>
      </c>
      <c r="Q300" t="str">
        <f>"Q"&amp;ROUNDUP(Table1[[#This Row],[month]]/3,0)</f>
        <v>Q4</v>
      </c>
    </row>
    <row r="301" spans="5:17" x14ac:dyDescent="0.25">
      <c r="E301">
        <v>297</v>
      </c>
      <c r="F301" t="s">
        <v>34</v>
      </c>
      <c r="G301" t="s">
        <v>37</v>
      </c>
      <c r="H301" t="s">
        <v>19</v>
      </c>
      <c r="I301">
        <v>8841</v>
      </c>
      <c r="J301">
        <v>303</v>
      </c>
      <c r="K301" s="8">
        <v>45223</v>
      </c>
      <c r="L301">
        <f>Table1[[#This Row],[unit price]]*Table1[[#This Row],[Units]]</f>
        <v>2678823</v>
      </c>
      <c r="M301" t="str">
        <f>TEXT(Table1[[#This Row],[Order date ]],"dddd")</f>
        <v>الثلاثاء</v>
      </c>
      <c r="N301">
        <f>MONTH(Table1[[#This Row],[Order date ]])</f>
        <v>10</v>
      </c>
      <c r="O301" t="str">
        <f>TEXT(Table1[[#This Row],[Order date ]],"mmm")</f>
        <v>أكتوبر</v>
      </c>
      <c r="P301">
        <f>ROUNDUP(Table1[[#This Row],[month]]/3,0)</f>
        <v>4</v>
      </c>
      <c r="Q301" t="str">
        <f>"Q"&amp;ROUNDUP(Table1[[#This Row],[month]]/3,0)</f>
        <v>Q4</v>
      </c>
    </row>
    <row r="302" spans="5:17" x14ac:dyDescent="0.25">
      <c r="E302">
        <v>298</v>
      </c>
      <c r="F302" t="s">
        <v>28</v>
      </c>
      <c r="G302" t="s">
        <v>43</v>
      </c>
      <c r="H302" t="s">
        <v>26</v>
      </c>
      <c r="I302">
        <v>4018</v>
      </c>
      <c r="J302">
        <v>126</v>
      </c>
      <c r="K302" s="8">
        <v>45224</v>
      </c>
      <c r="L302">
        <f>Table1[[#This Row],[unit price]]*Table1[[#This Row],[Units]]</f>
        <v>506268</v>
      </c>
      <c r="M302" t="str">
        <f>TEXT(Table1[[#This Row],[Order date ]],"dddd")</f>
        <v>الأربعاء</v>
      </c>
      <c r="N302">
        <f>MONTH(Table1[[#This Row],[Order date ]])</f>
        <v>10</v>
      </c>
      <c r="O302" t="str">
        <f>TEXT(Table1[[#This Row],[Order date ]],"mmm")</f>
        <v>أكتوبر</v>
      </c>
      <c r="P302">
        <f>ROUNDUP(Table1[[#This Row],[month]]/3,0)</f>
        <v>4</v>
      </c>
      <c r="Q302" t="str">
        <f>"Q"&amp;ROUNDUP(Table1[[#This Row],[month]]/3,0)</f>
        <v>Q4</v>
      </c>
    </row>
    <row r="303" spans="5:17" x14ac:dyDescent="0.25">
      <c r="E303">
        <v>299</v>
      </c>
      <c r="F303" t="s">
        <v>30</v>
      </c>
      <c r="G303" t="s">
        <v>40</v>
      </c>
      <c r="H303" t="s">
        <v>8</v>
      </c>
      <c r="I303">
        <v>714</v>
      </c>
      <c r="J303">
        <v>231</v>
      </c>
      <c r="K303" s="8">
        <v>45225</v>
      </c>
      <c r="L303">
        <f>Table1[[#This Row],[unit price]]*Table1[[#This Row],[Units]]</f>
        <v>164934</v>
      </c>
      <c r="M303" t="str">
        <f>TEXT(Table1[[#This Row],[Order date ]],"dddd")</f>
        <v>الخميس</v>
      </c>
      <c r="N303">
        <f>MONTH(Table1[[#This Row],[Order date ]])</f>
        <v>10</v>
      </c>
      <c r="O303" t="str">
        <f>TEXT(Table1[[#This Row],[Order date ]],"mmm")</f>
        <v>أكتوبر</v>
      </c>
      <c r="P303">
        <f>ROUNDUP(Table1[[#This Row],[month]]/3,0)</f>
        <v>4</v>
      </c>
      <c r="Q303" t="str">
        <f>"Q"&amp;ROUNDUP(Table1[[#This Row],[month]]/3,0)</f>
        <v>Q4</v>
      </c>
    </row>
    <row r="304" spans="5:17" x14ac:dyDescent="0.25">
      <c r="E304">
        <v>300</v>
      </c>
      <c r="F304" t="s">
        <v>3</v>
      </c>
      <c r="G304" t="s">
        <v>37</v>
      </c>
      <c r="H304" t="s">
        <v>18</v>
      </c>
      <c r="I304">
        <v>3850</v>
      </c>
      <c r="J304">
        <v>102</v>
      </c>
      <c r="K304" s="8">
        <v>45226</v>
      </c>
      <c r="L304">
        <f>Table1[[#This Row],[unit price]]*Table1[[#This Row],[Units]]</f>
        <v>392700</v>
      </c>
      <c r="M304" t="str">
        <f>TEXT(Table1[[#This Row],[Order date ]],"dddd")</f>
        <v>الجمعة</v>
      </c>
      <c r="N304">
        <f>MONTH(Table1[[#This Row],[Order date ]])</f>
        <v>10</v>
      </c>
      <c r="O304" t="str">
        <f>TEXT(Table1[[#This Row],[Order date ]],"mmm")</f>
        <v>أكتوبر</v>
      </c>
      <c r="P304">
        <f>ROUNDUP(Table1[[#This Row],[month]]/3,0)</f>
        <v>4</v>
      </c>
      <c r="Q304" t="str">
        <f>"Q"&amp;ROUNDUP(Table1[[#This Row],[month]]/3,0)</f>
        <v>Q4</v>
      </c>
    </row>
    <row r="305" spans="5:17" x14ac:dyDescent="0.25">
      <c r="E305">
        <v>301</v>
      </c>
      <c r="F305" t="s">
        <v>28</v>
      </c>
      <c r="G305" t="s">
        <v>37</v>
      </c>
      <c r="H305" t="s">
        <v>24</v>
      </c>
      <c r="I305">
        <v>4326</v>
      </c>
      <c r="J305">
        <v>348</v>
      </c>
      <c r="K305" s="8">
        <v>45227</v>
      </c>
      <c r="L305">
        <f>Table1[[#This Row],[unit price]]*Table1[[#This Row],[Units]]</f>
        <v>1505448</v>
      </c>
      <c r="M305" t="str">
        <f>TEXT(Table1[[#This Row],[Order date ]],"dddd")</f>
        <v>السبت</v>
      </c>
      <c r="N305">
        <f>MONTH(Table1[[#This Row],[Order date ]])</f>
        <v>10</v>
      </c>
      <c r="O305" t="str">
        <f>TEXT(Table1[[#This Row],[Order date ]],"mmm")</f>
        <v>أكتوبر</v>
      </c>
      <c r="P305">
        <f>ROUNDUP(Table1[[#This Row],[month]]/3,0)</f>
        <v>4</v>
      </c>
      <c r="Q305" t="str">
        <f>"Q"&amp;ROUNDUP(Table1[[#This Row],[month]]/3,0)</f>
        <v>Q4</v>
      </c>
    </row>
    <row r="306" spans="5:17" x14ac:dyDescent="0.25">
      <c r="E306">
        <v>302</v>
      </c>
      <c r="F306" t="s">
        <v>30</v>
      </c>
      <c r="G306" t="s">
        <v>39</v>
      </c>
      <c r="H306" t="s">
        <v>16</v>
      </c>
      <c r="I306">
        <v>4935</v>
      </c>
      <c r="J306">
        <v>126</v>
      </c>
      <c r="K306" s="8">
        <v>45228</v>
      </c>
      <c r="L306">
        <f>Table1[[#This Row],[unit price]]*Table1[[#This Row],[Units]]</f>
        <v>621810</v>
      </c>
      <c r="M306" t="str">
        <f>TEXT(Table1[[#This Row],[Order date ]],"dddd")</f>
        <v>الأحد</v>
      </c>
      <c r="N306">
        <f>MONTH(Table1[[#This Row],[Order date ]])</f>
        <v>10</v>
      </c>
      <c r="O306" t="str">
        <f>TEXT(Table1[[#This Row],[Order date ]],"mmm")</f>
        <v>أكتوبر</v>
      </c>
      <c r="P306">
        <f>ROUNDUP(Table1[[#This Row],[month]]/3,0)</f>
        <v>4</v>
      </c>
      <c r="Q306" t="str">
        <f>"Q"&amp;ROUNDUP(Table1[[#This Row],[month]]/3,0)</f>
        <v>Q4</v>
      </c>
    </row>
    <row r="307" spans="5:17" x14ac:dyDescent="0.25">
      <c r="E307">
        <v>303</v>
      </c>
      <c r="F307" t="s">
        <v>32</v>
      </c>
      <c r="G307" t="s">
        <v>45</v>
      </c>
      <c r="H307" t="s">
        <v>23</v>
      </c>
      <c r="I307">
        <v>4781</v>
      </c>
      <c r="J307">
        <v>123</v>
      </c>
      <c r="K307" s="8">
        <v>45229</v>
      </c>
      <c r="L307">
        <f>Table1[[#This Row],[unit price]]*Table1[[#This Row],[Units]]</f>
        <v>588063</v>
      </c>
      <c r="M307" t="str">
        <f>TEXT(Table1[[#This Row],[Order date ]],"dddd")</f>
        <v>الإثنين</v>
      </c>
      <c r="N307">
        <f>MONTH(Table1[[#This Row],[Order date ]])</f>
        <v>10</v>
      </c>
      <c r="O307" t="str">
        <f>TEXT(Table1[[#This Row],[Order date ]],"mmm")</f>
        <v>أكتوبر</v>
      </c>
      <c r="P307">
        <f>ROUNDUP(Table1[[#This Row],[month]]/3,0)</f>
        <v>4</v>
      </c>
      <c r="Q307" t="str">
        <f>"Q"&amp;ROUNDUP(Table1[[#This Row],[month]]/3,0)</f>
        <v>Q4</v>
      </c>
    </row>
    <row r="308" spans="5:17" x14ac:dyDescent="0.25">
      <c r="E308">
        <v>304</v>
      </c>
      <c r="F308" t="s">
        <v>33</v>
      </c>
      <c r="G308" t="s">
        <v>37</v>
      </c>
      <c r="H308" t="s">
        <v>18</v>
      </c>
      <c r="I308">
        <v>7483</v>
      </c>
      <c r="J308">
        <v>45</v>
      </c>
      <c r="K308" s="8">
        <v>45230</v>
      </c>
      <c r="L308">
        <f>Table1[[#This Row],[unit price]]*Table1[[#This Row],[Units]]</f>
        <v>336735</v>
      </c>
      <c r="M308" t="str">
        <f>TEXT(Table1[[#This Row],[Order date ]],"dddd")</f>
        <v>الثلاثاء</v>
      </c>
      <c r="N308">
        <f>MONTH(Table1[[#This Row],[Order date ]])</f>
        <v>10</v>
      </c>
      <c r="O308" t="str">
        <f>TEXT(Table1[[#This Row],[Order date ]],"mmm")</f>
        <v>أكتوبر</v>
      </c>
      <c r="P308">
        <f>ROUNDUP(Table1[[#This Row],[month]]/3,0)</f>
        <v>4</v>
      </c>
      <c r="Q308" t="str">
        <f>"Q"&amp;ROUNDUP(Table1[[#This Row],[month]]/3,0)</f>
        <v>Q4</v>
      </c>
    </row>
    <row r="309" spans="5:17" x14ac:dyDescent="0.25">
      <c r="E309">
        <v>305</v>
      </c>
      <c r="F309" t="s">
        <v>35</v>
      </c>
      <c r="G309" t="s">
        <v>37</v>
      </c>
      <c r="H309" t="s">
        <v>2</v>
      </c>
      <c r="I309">
        <v>6860</v>
      </c>
      <c r="J309">
        <v>126</v>
      </c>
      <c r="K309" s="8">
        <v>45231</v>
      </c>
      <c r="L309">
        <f>Table1[[#This Row],[unit price]]*Table1[[#This Row],[Units]]</f>
        <v>864360</v>
      </c>
      <c r="M309" t="str">
        <f>TEXT(Table1[[#This Row],[Order date ]],"dddd")</f>
        <v>الأربعاء</v>
      </c>
      <c r="N309">
        <f>MONTH(Table1[[#This Row],[Order date ]])</f>
        <v>11</v>
      </c>
      <c r="O309" t="str">
        <f>TEXT(Table1[[#This Row],[Order date ]],"mmm")</f>
        <v>نوفمبر</v>
      </c>
      <c r="P309">
        <f>ROUNDUP(Table1[[#This Row],[month]]/3,0)</f>
        <v>4</v>
      </c>
      <c r="Q309" t="str">
        <f>"Q"&amp;ROUNDUP(Table1[[#This Row],[month]]/3,0)</f>
        <v>Q4</v>
      </c>
    </row>
    <row r="310" spans="5:17" x14ac:dyDescent="0.25">
      <c r="E310">
        <v>306</v>
      </c>
      <c r="F310" t="s">
        <v>28</v>
      </c>
      <c r="G310" t="s">
        <v>37</v>
      </c>
      <c r="H310" t="s">
        <v>24</v>
      </c>
      <c r="I310">
        <v>4326</v>
      </c>
      <c r="J310">
        <v>348</v>
      </c>
      <c r="K310" s="8">
        <v>45232</v>
      </c>
      <c r="L310">
        <f>Table1[[#This Row],[unit price]]*Table1[[#This Row],[Units]]</f>
        <v>1505448</v>
      </c>
      <c r="M310" t="str">
        <f>TEXT(Table1[[#This Row],[Order date ]],"dddd")</f>
        <v>الخميس</v>
      </c>
      <c r="N310">
        <f>MONTH(Table1[[#This Row],[Order date ]])</f>
        <v>11</v>
      </c>
      <c r="O310" t="str">
        <f>TEXT(Table1[[#This Row],[Order date ]],"mmm")</f>
        <v>نوفمبر</v>
      </c>
      <c r="P310">
        <f>ROUNDUP(Table1[[#This Row],[month]]/3,0)</f>
        <v>4</v>
      </c>
      <c r="Q310" t="str">
        <f>"Q"&amp;ROUNDUP(Table1[[#This Row],[month]]/3,0)</f>
        <v>Q4</v>
      </c>
    </row>
    <row r="311" spans="5:17" x14ac:dyDescent="0.25">
      <c r="E311">
        <v>307</v>
      </c>
      <c r="F311" t="s">
        <v>30</v>
      </c>
      <c r="G311" t="s">
        <v>39</v>
      </c>
      <c r="H311" t="s">
        <v>16</v>
      </c>
      <c r="I311">
        <v>4935</v>
      </c>
      <c r="J311">
        <v>126</v>
      </c>
      <c r="K311" s="8">
        <v>45233</v>
      </c>
      <c r="L311">
        <f>Table1[[#This Row],[unit price]]*Table1[[#This Row],[Units]]</f>
        <v>621810</v>
      </c>
      <c r="M311" t="str">
        <f>TEXT(Table1[[#This Row],[Order date ]],"dddd")</f>
        <v>الجمعة</v>
      </c>
      <c r="N311">
        <f>MONTH(Table1[[#This Row],[Order date ]])</f>
        <v>11</v>
      </c>
      <c r="O311" t="str">
        <f>TEXT(Table1[[#This Row],[Order date ]],"mmm")</f>
        <v>نوفمبر</v>
      </c>
      <c r="P311">
        <f>ROUNDUP(Table1[[#This Row],[month]]/3,0)</f>
        <v>4</v>
      </c>
      <c r="Q311" t="str">
        <f>"Q"&amp;ROUNDUP(Table1[[#This Row],[month]]/3,0)</f>
        <v>Q4</v>
      </c>
    </row>
    <row r="312" spans="5:17" x14ac:dyDescent="0.25">
      <c r="E312">
        <v>308</v>
      </c>
      <c r="F312" t="s">
        <v>32</v>
      </c>
      <c r="G312" t="s">
        <v>45</v>
      </c>
      <c r="H312" t="s">
        <v>23</v>
      </c>
      <c r="I312">
        <v>4781</v>
      </c>
      <c r="J312">
        <v>123</v>
      </c>
      <c r="K312" s="8">
        <v>45234</v>
      </c>
      <c r="L312">
        <f>Table1[[#This Row],[unit price]]*Table1[[#This Row],[Units]]</f>
        <v>588063</v>
      </c>
      <c r="M312" t="str">
        <f>TEXT(Table1[[#This Row],[Order date ]],"dddd")</f>
        <v>السبت</v>
      </c>
      <c r="N312">
        <f>MONTH(Table1[[#This Row],[Order date ]])</f>
        <v>11</v>
      </c>
      <c r="O312" t="str">
        <f>TEXT(Table1[[#This Row],[Order date ]],"mmm")</f>
        <v>نوفمبر</v>
      </c>
      <c r="P312">
        <f>ROUNDUP(Table1[[#This Row],[month]]/3,0)</f>
        <v>4</v>
      </c>
      <c r="Q312" t="str">
        <f>"Q"&amp;ROUNDUP(Table1[[#This Row],[month]]/3,0)</f>
        <v>Q4</v>
      </c>
    </row>
    <row r="313" spans="5:17" x14ac:dyDescent="0.25">
      <c r="E313">
        <v>309</v>
      </c>
      <c r="F313" t="s">
        <v>33</v>
      </c>
      <c r="G313" t="s">
        <v>37</v>
      </c>
      <c r="H313" t="s">
        <v>18</v>
      </c>
      <c r="I313">
        <v>7483</v>
      </c>
      <c r="J313">
        <v>45</v>
      </c>
      <c r="K313" s="8">
        <v>45235</v>
      </c>
      <c r="L313">
        <f>Table1[[#This Row],[unit price]]*Table1[[#This Row],[Units]]</f>
        <v>336735</v>
      </c>
      <c r="M313" t="str">
        <f>TEXT(Table1[[#This Row],[Order date ]],"dddd")</f>
        <v>الأحد</v>
      </c>
      <c r="N313">
        <f>MONTH(Table1[[#This Row],[Order date ]])</f>
        <v>11</v>
      </c>
      <c r="O313" t="str">
        <f>TEXT(Table1[[#This Row],[Order date ]],"mmm")</f>
        <v>نوفمبر</v>
      </c>
      <c r="P313">
        <f>ROUNDUP(Table1[[#This Row],[month]]/3,0)</f>
        <v>4</v>
      </c>
      <c r="Q313" t="str">
        <f>"Q"&amp;ROUNDUP(Table1[[#This Row],[month]]/3,0)</f>
        <v>Q4</v>
      </c>
    </row>
    <row r="314" spans="5:17" x14ac:dyDescent="0.25">
      <c r="E314">
        <v>310</v>
      </c>
      <c r="F314" t="s">
        <v>35</v>
      </c>
      <c r="G314" t="s">
        <v>37</v>
      </c>
      <c r="H314" t="s">
        <v>2</v>
      </c>
      <c r="I314">
        <v>6860</v>
      </c>
      <c r="J314">
        <v>126</v>
      </c>
      <c r="K314" s="8">
        <v>45236</v>
      </c>
      <c r="L314">
        <f>Table1[[#This Row],[unit price]]*Table1[[#This Row],[Units]]</f>
        <v>864360</v>
      </c>
      <c r="M314" t="str">
        <f>TEXT(Table1[[#This Row],[Order date ]],"dddd")</f>
        <v>الإثنين</v>
      </c>
      <c r="N314">
        <f>MONTH(Table1[[#This Row],[Order date ]])</f>
        <v>11</v>
      </c>
      <c r="O314" t="str">
        <f>TEXT(Table1[[#This Row],[Order date ]],"mmm")</f>
        <v>نوفمبر</v>
      </c>
      <c r="P314">
        <f>ROUNDUP(Table1[[#This Row],[month]]/3,0)</f>
        <v>4</v>
      </c>
      <c r="Q314" t="str">
        <f>"Q"&amp;ROUNDUP(Table1[[#This Row],[month]]/3,0)</f>
        <v>Q4</v>
      </c>
    </row>
    <row r="315" spans="5:17" x14ac:dyDescent="0.25">
      <c r="E315">
        <v>311</v>
      </c>
      <c r="F315" t="s">
        <v>28</v>
      </c>
      <c r="G315" t="s">
        <v>37</v>
      </c>
      <c r="H315" t="s">
        <v>24</v>
      </c>
      <c r="I315">
        <v>4326</v>
      </c>
      <c r="J315">
        <v>348</v>
      </c>
      <c r="K315" s="8">
        <v>45237</v>
      </c>
      <c r="L315">
        <f>Table1[[#This Row],[unit price]]*Table1[[#This Row],[Units]]</f>
        <v>1505448</v>
      </c>
      <c r="M315" t="str">
        <f>TEXT(Table1[[#This Row],[Order date ]],"dddd")</f>
        <v>الثلاثاء</v>
      </c>
      <c r="N315">
        <f>MONTH(Table1[[#This Row],[Order date ]])</f>
        <v>11</v>
      </c>
      <c r="O315" t="str">
        <f>TEXT(Table1[[#This Row],[Order date ]],"mmm")</f>
        <v>نوفمبر</v>
      </c>
      <c r="P315">
        <f>ROUNDUP(Table1[[#This Row],[month]]/3,0)</f>
        <v>4</v>
      </c>
      <c r="Q315" t="str">
        <f>"Q"&amp;ROUNDUP(Table1[[#This Row],[month]]/3,0)</f>
        <v>Q4</v>
      </c>
    </row>
    <row r="316" spans="5:17" x14ac:dyDescent="0.25">
      <c r="E316">
        <v>312</v>
      </c>
      <c r="F316" t="s">
        <v>30</v>
      </c>
      <c r="G316" t="s">
        <v>39</v>
      </c>
      <c r="H316" t="s">
        <v>16</v>
      </c>
      <c r="I316">
        <v>4935</v>
      </c>
      <c r="J316">
        <v>126</v>
      </c>
      <c r="K316" s="8">
        <v>45238</v>
      </c>
      <c r="L316">
        <f>Table1[[#This Row],[unit price]]*Table1[[#This Row],[Units]]</f>
        <v>621810</v>
      </c>
      <c r="M316" t="str">
        <f>TEXT(Table1[[#This Row],[Order date ]],"dddd")</f>
        <v>الأربعاء</v>
      </c>
      <c r="N316">
        <f>MONTH(Table1[[#This Row],[Order date ]])</f>
        <v>11</v>
      </c>
      <c r="O316" t="str">
        <f>TEXT(Table1[[#This Row],[Order date ]],"mmm")</f>
        <v>نوفمبر</v>
      </c>
      <c r="P316">
        <f>ROUNDUP(Table1[[#This Row],[month]]/3,0)</f>
        <v>4</v>
      </c>
      <c r="Q316" t="str">
        <f>"Q"&amp;ROUNDUP(Table1[[#This Row],[month]]/3,0)</f>
        <v>Q4</v>
      </c>
    </row>
    <row r="317" spans="5:17" x14ac:dyDescent="0.25">
      <c r="E317">
        <v>313</v>
      </c>
      <c r="F317" t="s">
        <v>32</v>
      </c>
      <c r="G317" t="s">
        <v>45</v>
      </c>
      <c r="H317" t="s">
        <v>23</v>
      </c>
      <c r="I317">
        <v>4781</v>
      </c>
      <c r="J317">
        <v>123</v>
      </c>
      <c r="K317" s="8">
        <v>45239</v>
      </c>
      <c r="L317">
        <f>Table1[[#This Row],[unit price]]*Table1[[#This Row],[Units]]</f>
        <v>588063</v>
      </c>
      <c r="M317" t="str">
        <f>TEXT(Table1[[#This Row],[Order date ]],"dddd")</f>
        <v>الخميس</v>
      </c>
      <c r="N317">
        <f>MONTH(Table1[[#This Row],[Order date ]])</f>
        <v>11</v>
      </c>
      <c r="O317" t="str">
        <f>TEXT(Table1[[#This Row],[Order date ]],"mmm")</f>
        <v>نوفمبر</v>
      </c>
      <c r="P317">
        <f>ROUNDUP(Table1[[#This Row],[month]]/3,0)</f>
        <v>4</v>
      </c>
      <c r="Q317" t="str">
        <f>"Q"&amp;ROUNDUP(Table1[[#This Row],[month]]/3,0)</f>
        <v>Q4</v>
      </c>
    </row>
    <row r="318" spans="5:17" x14ac:dyDescent="0.25">
      <c r="E318">
        <v>314</v>
      </c>
      <c r="F318" t="s">
        <v>33</v>
      </c>
      <c r="G318" t="s">
        <v>37</v>
      </c>
      <c r="H318" t="s">
        <v>18</v>
      </c>
      <c r="I318">
        <v>7483</v>
      </c>
      <c r="J318">
        <v>45</v>
      </c>
      <c r="K318" s="8">
        <v>45240</v>
      </c>
      <c r="L318">
        <f>Table1[[#This Row],[unit price]]*Table1[[#This Row],[Units]]</f>
        <v>336735</v>
      </c>
      <c r="M318" t="str">
        <f>TEXT(Table1[[#This Row],[Order date ]],"dddd")</f>
        <v>الجمعة</v>
      </c>
      <c r="N318">
        <f>MONTH(Table1[[#This Row],[Order date ]])</f>
        <v>11</v>
      </c>
      <c r="O318" t="str">
        <f>TEXT(Table1[[#This Row],[Order date ]],"mmm")</f>
        <v>نوفمبر</v>
      </c>
      <c r="P318">
        <f>ROUNDUP(Table1[[#This Row],[month]]/3,0)</f>
        <v>4</v>
      </c>
      <c r="Q318" t="str">
        <f>"Q"&amp;ROUNDUP(Table1[[#This Row],[month]]/3,0)</f>
        <v>Q4</v>
      </c>
    </row>
    <row r="319" spans="5:17" x14ac:dyDescent="0.25">
      <c r="E319">
        <v>315</v>
      </c>
      <c r="F319" t="s">
        <v>35</v>
      </c>
      <c r="G319" t="s">
        <v>37</v>
      </c>
      <c r="H319" t="s">
        <v>2</v>
      </c>
      <c r="I319">
        <v>6860</v>
      </c>
      <c r="J319">
        <v>126</v>
      </c>
      <c r="K319" s="8">
        <v>45241</v>
      </c>
      <c r="L319">
        <f>Table1[[#This Row],[unit price]]*Table1[[#This Row],[Units]]</f>
        <v>864360</v>
      </c>
      <c r="M319" t="str">
        <f>TEXT(Table1[[#This Row],[Order date ]],"dddd")</f>
        <v>السبت</v>
      </c>
      <c r="N319">
        <f>MONTH(Table1[[#This Row],[Order date ]])</f>
        <v>11</v>
      </c>
      <c r="O319" t="str">
        <f>TEXT(Table1[[#This Row],[Order date ]],"mmm")</f>
        <v>نوفمبر</v>
      </c>
      <c r="P319">
        <f>ROUNDUP(Table1[[#This Row],[month]]/3,0)</f>
        <v>4</v>
      </c>
      <c r="Q319" t="str">
        <f>"Q"&amp;ROUNDUP(Table1[[#This Row],[month]]/3,0)</f>
        <v>Q4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1E4B2-D0D3-46CA-BAB6-24C085A2C2FB}">
  <dimension ref="A2:DM31"/>
  <sheetViews>
    <sheetView showGridLines="0" tabSelected="1" zoomScale="55" zoomScaleNormal="55" workbookViewId="0">
      <selection activeCell="E40" sqref="E40"/>
    </sheetView>
  </sheetViews>
  <sheetFormatPr defaultRowHeight="15" x14ac:dyDescent="0.25"/>
  <cols>
    <col min="1" max="1" width="21.140625" bestFit="1" customWidth="1"/>
    <col min="2" max="2" width="11.7109375" bestFit="1" customWidth="1"/>
    <col min="7" max="7" width="8.85546875" style="11"/>
    <col min="8" max="8" width="20.28515625" bestFit="1" customWidth="1"/>
    <col min="9" max="9" width="16.28515625" bestFit="1" customWidth="1"/>
    <col min="14" max="14" width="8.85546875" style="11"/>
    <col min="15" max="15" width="13.140625" bestFit="1" customWidth="1"/>
    <col min="16" max="16" width="17" bestFit="1" customWidth="1"/>
    <col min="17" max="17" width="13.28515625" bestFit="1" customWidth="1"/>
    <col min="20" max="20" width="8.85546875" style="11"/>
    <col min="21" max="21" width="15" bestFit="1" customWidth="1"/>
    <col min="22" max="22" width="13.85546875" customWidth="1"/>
    <col min="23" max="23" width="8.85546875" style="11"/>
    <col min="24" max="24" width="12.5703125" bestFit="1" customWidth="1"/>
    <col min="25" max="25" width="16.28515625" bestFit="1" customWidth="1"/>
    <col min="29" max="29" width="9.28515625" customWidth="1"/>
    <col min="30" max="30" width="9.140625" style="11"/>
    <col min="33" max="33" width="23.140625" bestFit="1" customWidth="1"/>
    <col min="34" max="34" width="17" bestFit="1" customWidth="1"/>
    <col min="35" max="35" width="11.42578125" bestFit="1" customWidth="1"/>
    <col min="36" max="36" width="13.85546875" bestFit="1" customWidth="1"/>
    <col min="37" max="37" width="14" bestFit="1" customWidth="1"/>
    <col min="38" max="38" width="12.7109375" bestFit="1" customWidth="1"/>
    <col min="39" max="39" width="13.140625" bestFit="1" customWidth="1"/>
    <col min="40" max="40" width="14.85546875" bestFit="1" customWidth="1"/>
    <col min="41" max="41" width="14.7109375" style="15" bestFit="1" customWidth="1"/>
    <col min="42" max="42" width="17.7109375" bestFit="1" customWidth="1"/>
    <col min="43" max="43" width="17" bestFit="1" customWidth="1"/>
    <col min="44" max="44" width="11.28515625" bestFit="1" customWidth="1"/>
    <col min="48" max="48" width="9.140625" style="14"/>
    <col min="49" max="49" width="20.5703125" bestFit="1" customWidth="1"/>
    <col min="50" max="50" width="16.28515625" bestFit="1" customWidth="1"/>
    <col min="51" max="51" width="17.7109375" bestFit="1" customWidth="1"/>
    <col min="52" max="52" width="19.28515625" bestFit="1" customWidth="1"/>
    <col min="53" max="53" width="15.7109375" bestFit="1" customWidth="1"/>
    <col min="54" max="54" width="9.140625" bestFit="1" customWidth="1"/>
    <col min="55" max="55" width="15.140625" bestFit="1" customWidth="1"/>
    <col min="56" max="56" width="9.140625" bestFit="1" customWidth="1"/>
    <col min="57" max="57" width="14" bestFit="1" customWidth="1"/>
    <col min="58" max="58" width="15.7109375" bestFit="1" customWidth="1"/>
    <col min="59" max="59" width="13.28515625" bestFit="1" customWidth="1"/>
    <col min="60" max="60" width="11.28515625" bestFit="1" customWidth="1"/>
    <col min="61" max="61" width="12" bestFit="1" customWidth="1"/>
    <col min="62" max="62" width="17.42578125" style="14" bestFit="1" customWidth="1"/>
    <col min="63" max="63" width="23.5703125" bestFit="1" customWidth="1"/>
    <col min="64" max="64" width="17.7109375" bestFit="1" customWidth="1"/>
    <col min="65" max="65" width="15.85546875" bestFit="1" customWidth="1"/>
    <col min="66" max="66" width="19.42578125" bestFit="1" customWidth="1"/>
    <col min="67" max="67" width="9.140625" bestFit="1" customWidth="1"/>
    <col min="68" max="68" width="13.28515625" bestFit="1" customWidth="1"/>
    <col min="69" max="69" width="14" bestFit="1" customWidth="1"/>
    <col min="70" max="70" width="11.140625" bestFit="1" customWidth="1"/>
    <col min="71" max="71" width="15.7109375" bestFit="1" customWidth="1"/>
    <col min="72" max="72" width="13.28515625" bestFit="1" customWidth="1"/>
    <col min="73" max="73" width="14" bestFit="1" customWidth="1"/>
    <col min="74" max="74" width="11.28515625" bestFit="1" customWidth="1"/>
    <col min="75" max="75" width="20.85546875" bestFit="1" customWidth="1"/>
    <col min="76" max="76" width="21.28515625" style="14" bestFit="1" customWidth="1"/>
    <col min="77" max="77" width="10.140625" bestFit="1" customWidth="1"/>
    <col min="78" max="78" width="23.5703125" bestFit="1" customWidth="1"/>
    <col min="79" max="79" width="16.28515625" bestFit="1" customWidth="1"/>
    <col min="80" max="80" width="13.85546875" bestFit="1" customWidth="1"/>
    <col min="81" max="81" width="16.140625" bestFit="1" customWidth="1"/>
    <col min="82" max="82" width="14" bestFit="1" customWidth="1"/>
    <col min="83" max="83" width="13.28515625" bestFit="1" customWidth="1"/>
    <col min="84" max="84" width="15.42578125" bestFit="1" customWidth="1"/>
    <col min="85" max="85" width="10" bestFit="1" customWidth="1"/>
    <col min="86" max="86" width="15.7109375" bestFit="1" customWidth="1"/>
    <col min="87" max="87" width="17.7109375" bestFit="1" customWidth="1"/>
    <col min="88" max="89" width="11.28515625" bestFit="1" customWidth="1"/>
    <col min="90" max="90" width="15.140625" bestFit="1" customWidth="1"/>
    <col min="91" max="91" width="20.42578125" style="14" bestFit="1" customWidth="1"/>
    <col min="92" max="92" width="9.140625" bestFit="1" customWidth="1"/>
    <col min="93" max="93" width="21.85546875" bestFit="1" customWidth="1"/>
    <col min="94" max="94" width="16.28515625" bestFit="1" customWidth="1"/>
    <col min="95" max="95" width="4.42578125" bestFit="1" customWidth="1"/>
    <col min="96" max="96" width="5" bestFit="1" customWidth="1"/>
    <col min="97" max="97" width="4.42578125" bestFit="1" customWidth="1"/>
    <col min="98" max="98" width="5.28515625" bestFit="1" customWidth="1"/>
    <col min="99" max="99" width="4" bestFit="1" customWidth="1"/>
    <col min="100" max="100" width="3.42578125" bestFit="1" customWidth="1"/>
    <col min="101" max="101" width="4.5703125" bestFit="1" customWidth="1"/>
    <col min="102" max="102" width="4.42578125" bestFit="1" customWidth="1"/>
    <col min="103" max="103" width="4.28515625" bestFit="1" customWidth="1"/>
    <col min="104" max="104" width="4.85546875" bestFit="1" customWidth="1"/>
    <col min="105" max="105" width="11.28515625" bestFit="1" customWidth="1"/>
    <col min="106" max="106" width="5.28515625" bestFit="1" customWidth="1"/>
    <col min="107" max="107" width="8.28515625" style="14" bestFit="1" customWidth="1"/>
    <col min="108" max="108" width="6.28515625" bestFit="1" customWidth="1"/>
    <col min="109" max="110" width="17" bestFit="1" customWidth="1"/>
    <col min="111" max="111" width="17.7109375" bestFit="1" customWidth="1"/>
    <col min="112" max="112" width="11.28515625" bestFit="1" customWidth="1"/>
    <col min="113" max="113" width="13.28515625" style="14" bestFit="1" customWidth="1"/>
    <col min="114" max="114" width="15.7109375" bestFit="1" customWidth="1"/>
    <col min="115" max="115" width="11.140625" bestFit="1" customWidth="1"/>
    <col min="116" max="116" width="14" bestFit="1" customWidth="1"/>
    <col min="117" max="117" width="18.85546875" bestFit="1" customWidth="1"/>
    <col min="118" max="118" width="19.7109375" bestFit="1" customWidth="1"/>
    <col min="119" max="119" width="21.85546875" bestFit="1" customWidth="1"/>
    <col min="120" max="120" width="13.28515625" bestFit="1" customWidth="1"/>
    <col min="121" max="121" width="8" bestFit="1" customWidth="1"/>
    <col min="122" max="122" width="15.140625" bestFit="1" customWidth="1"/>
    <col min="123" max="123" width="20.42578125" bestFit="1" customWidth="1"/>
    <col min="124" max="124" width="9.140625" bestFit="1" customWidth="1"/>
    <col min="125" max="125" width="15.7109375" bestFit="1" customWidth="1"/>
    <col min="126" max="126" width="13.42578125" bestFit="1" customWidth="1"/>
    <col min="127" max="127" width="19.28515625" bestFit="1" customWidth="1"/>
    <col min="128" max="128" width="19.42578125" bestFit="1" customWidth="1"/>
    <col min="129" max="129" width="15.85546875" bestFit="1" customWidth="1"/>
    <col min="130" max="130" width="17.42578125" bestFit="1" customWidth="1"/>
    <col min="131" max="131" width="17.7109375" bestFit="1" customWidth="1"/>
    <col min="132" max="133" width="11.28515625" bestFit="1" customWidth="1"/>
    <col min="134" max="134" width="15.7109375" bestFit="1" customWidth="1"/>
    <col min="135" max="135" width="20.42578125" bestFit="1" customWidth="1"/>
    <col min="136" max="136" width="15.140625" bestFit="1" customWidth="1"/>
    <col min="137" max="137" width="6.5703125" bestFit="1" customWidth="1"/>
    <col min="138" max="138" width="14" bestFit="1" customWidth="1"/>
    <col min="139" max="139" width="15.7109375" bestFit="1" customWidth="1"/>
    <col min="140" max="140" width="19.85546875" bestFit="1" customWidth="1"/>
    <col min="141" max="141" width="17" bestFit="1" customWidth="1"/>
    <col min="142" max="142" width="17.42578125" bestFit="1" customWidth="1"/>
    <col min="143" max="143" width="15.85546875" bestFit="1" customWidth="1"/>
    <col min="144" max="144" width="15.7109375" bestFit="1" customWidth="1"/>
    <col min="145" max="145" width="15.140625" bestFit="1" customWidth="1"/>
    <col min="146" max="146" width="6.5703125" bestFit="1" customWidth="1"/>
    <col min="147" max="147" width="18.85546875" bestFit="1" customWidth="1"/>
    <col min="148" max="148" width="14" bestFit="1" customWidth="1"/>
    <col min="149" max="149" width="15.7109375" bestFit="1" customWidth="1"/>
    <col min="150" max="150" width="13.28515625" bestFit="1" customWidth="1"/>
    <col min="151" max="151" width="20.140625" bestFit="1" customWidth="1"/>
    <col min="152" max="152" width="17" bestFit="1" customWidth="1"/>
    <col min="153" max="153" width="17.7109375" bestFit="1" customWidth="1"/>
    <col min="154" max="154" width="19.42578125" bestFit="1" customWidth="1"/>
    <col min="155" max="155" width="19.28515625" bestFit="1" customWidth="1"/>
    <col min="156" max="156" width="13.42578125" bestFit="1" customWidth="1"/>
    <col min="157" max="157" width="6.5703125" bestFit="1" customWidth="1"/>
    <col min="158" max="158" width="21.85546875" bestFit="1" customWidth="1"/>
    <col min="159" max="159" width="11.140625" bestFit="1" customWidth="1"/>
    <col min="160" max="160" width="13.28515625" bestFit="1" customWidth="1"/>
    <col min="161" max="161" width="14" bestFit="1" customWidth="1"/>
    <col min="162" max="162" width="20.140625" bestFit="1" customWidth="1"/>
    <col min="163" max="163" width="13.42578125" bestFit="1" customWidth="1"/>
    <col min="164" max="164" width="17.42578125" bestFit="1" customWidth="1"/>
    <col min="165" max="165" width="15.85546875" bestFit="1" customWidth="1"/>
    <col min="166" max="166" width="19.42578125" bestFit="1" customWidth="1"/>
    <col min="167" max="167" width="19.28515625" bestFit="1" customWidth="1"/>
    <col min="168" max="168" width="13.42578125" bestFit="1" customWidth="1"/>
    <col min="169" max="169" width="20.42578125" bestFit="1" customWidth="1"/>
    <col min="170" max="170" width="21.85546875" bestFit="1" customWidth="1"/>
    <col min="171" max="171" width="18.85546875" bestFit="1" customWidth="1"/>
    <col min="172" max="172" width="11.140625" bestFit="1" customWidth="1"/>
    <col min="173" max="173" width="16.5703125" bestFit="1" customWidth="1"/>
    <col min="174" max="174" width="11.28515625" bestFit="1" customWidth="1"/>
    <col min="175" max="176" width="23.5703125" bestFit="1" customWidth="1"/>
    <col min="177" max="177" width="25.5703125" bestFit="1" customWidth="1"/>
    <col min="178" max="184" width="23.5703125" bestFit="1" customWidth="1"/>
    <col min="185" max="185" width="14.140625" bestFit="1" customWidth="1"/>
    <col min="186" max="194" width="17.5703125" bestFit="1" customWidth="1"/>
    <col min="195" max="195" width="20.7109375" bestFit="1" customWidth="1"/>
    <col min="196" max="204" width="23.5703125" bestFit="1" customWidth="1"/>
    <col min="205" max="205" width="18.42578125" bestFit="1" customWidth="1"/>
    <col min="206" max="214" width="23.5703125" bestFit="1" customWidth="1"/>
    <col min="215" max="215" width="24.28515625" bestFit="1" customWidth="1"/>
    <col min="216" max="225" width="23.5703125" bestFit="1" customWidth="1"/>
    <col min="226" max="226" width="24.42578125" bestFit="1" customWidth="1"/>
    <col min="227" max="236" width="23.5703125" bestFit="1" customWidth="1"/>
    <col min="237" max="237" width="20.85546875" bestFit="1" customWidth="1"/>
    <col min="238" max="243" width="19.28515625" bestFit="1" customWidth="1"/>
    <col min="244" max="244" width="22.42578125" bestFit="1" customWidth="1"/>
    <col min="245" max="250" width="23.5703125" bestFit="1" customWidth="1"/>
    <col min="251" max="251" width="22.7109375" bestFit="1" customWidth="1"/>
    <col min="252" max="260" width="23.5703125" bestFit="1" customWidth="1"/>
    <col min="261" max="261" width="16.28515625" bestFit="1" customWidth="1"/>
    <col min="262" max="262" width="11.28515625" bestFit="1" customWidth="1"/>
  </cols>
  <sheetData>
    <row r="2" spans="1:117" x14ac:dyDescent="0.25">
      <c r="U2" t="s">
        <v>113</v>
      </c>
    </row>
    <row r="3" spans="1:117" x14ac:dyDescent="0.25">
      <c r="A3" s="9" t="s">
        <v>85</v>
      </c>
      <c r="B3" t="s">
        <v>94</v>
      </c>
      <c r="H3" s="9" t="s">
        <v>85</v>
      </c>
      <c r="I3" t="s">
        <v>96</v>
      </c>
      <c r="O3" s="9" t="s">
        <v>85</v>
      </c>
      <c r="P3" t="s">
        <v>96</v>
      </c>
      <c r="U3">
        <v>10</v>
      </c>
      <c r="X3" s="9" t="s">
        <v>85</v>
      </c>
      <c r="Y3" t="s">
        <v>96</v>
      </c>
      <c r="AP3" s="9" t="s">
        <v>85</v>
      </c>
      <c r="AQ3" t="s">
        <v>96</v>
      </c>
    </row>
    <row r="4" spans="1:117" x14ac:dyDescent="0.25">
      <c r="A4" s="10" t="s">
        <v>89</v>
      </c>
      <c r="B4">
        <v>3804</v>
      </c>
      <c r="H4" s="10" t="s">
        <v>26</v>
      </c>
      <c r="I4" s="12">
        <v>9393615</v>
      </c>
      <c r="O4" s="10" t="s">
        <v>101</v>
      </c>
      <c r="P4" s="18">
        <v>28072401</v>
      </c>
      <c r="X4" s="10" t="s">
        <v>108</v>
      </c>
      <c r="Y4" s="13">
        <v>0.13427993857816689</v>
      </c>
      <c r="AG4" s="9" t="s">
        <v>85</v>
      </c>
      <c r="AH4" t="s">
        <v>96</v>
      </c>
      <c r="AP4" s="10" t="s">
        <v>14</v>
      </c>
      <c r="AQ4" s="12">
        <v>4230177</v>
      </c>
    </row>
    <row r="5" spans="1:117" x14ac:dyDescent="0.25">
      <c r="A5" s="10" t="s">
        <v>86</v>
      </c>
      <c r="B5">
        <v>4221</v>
      </c>
      <c r="H5" s="10" t="s">
        <v>8</v>
      </c>
      <c r="I5" s="12">
        <v>9409596</v>
      </c>
      <c r="O5" s="10" t="s">
        <v>103</v>
      </c>
      <c r="P5" s="18">
        <v>22639596</v>
      </c>
      <c r="U5" t="s">
        <v>114</v>
      </c>
      <c r="X5" s="10" t="s">
        <v>109</v>
      </c>
      <c r="Y5" s="13">
        <v>0.21586547037917345</v>
      </c>
      <c r="AG5" s="10" t="s">
        <v>86</v>
      </c>
      <c r="AH5" s="13">
        <v>7.7326695499807627E-2</v>
      </c>
      <c r="AP5" s="10" t="s">
        <v>17</v>
      </c>
      <c r="AQ5" s="12">
        <v>4900098</v>
      </c>
    </row>
    <row r="6" spans="1:117" x14ac:dyDescent="0.25">
      <c r="A6" s="10" t="s">
        <v>91</v>
      </c>
      <c r="B6">
        <v>4245</v>
      </c>
      <c r="H6" s="10" t="s">
        <v>22</v>
      </c>
      <c r="I6" s="12">
        <v>9762354</v>
      </c>
      <c r="O6" s="10" t="s">
        <v>104</v>
      </c>
      <c r="P6" s="18">
        <v>22513827</v>
      </c>
      <c r="U6">
        <v>22</v>
      </c>
      <c r="V6">
        <v>22</v>
      </c>
      <c r="X6" s="10" t="s">
        <v>110</v>
      </c>
      <c r="Y6" s="13">
        <v>0.16510682324838874</v>
      </c>
      <c r="AG6" s="10" t="s">
        <v>87</v>
      </c>
      <c r="AH6" s="13">
        <v>8.102890546627696E-2</v>
      </c>
      <c r="AP6" s="10" t="s">
        <v>9</v>
      </c>
      <c r="AQ6" s="12">
        <v>5980023</v>
      </c>
      <c r="AW6" s="9" t="s">
        <v>117</v>
      </c>
      <c r="AX6" s="9" t="s">
        <v>118</v>
      </c>
      <c r="CO6" s="9" t="s">
        <v>119</v>
      </c>
      <c r="CP6" s="9" t="s">
        <v>118</v>
      </c>
    </row>
    <row r="7" spans="1:117" x14ac:dyDescent="0.25">
      <c r="A7" s="10" t="s">
        <v>3</v>
      </c>
      <c r="B7">
        <v>4554</v>
      </c>
      <c r="H7" s="10" t="s">
        <v>19</v>
      </c>
      <c r="I7" s="12">
        <v>9790893</v>
      </c>
      <c r="O7" s="10" t="s">
        <v>98</v>
      </c>
      <c r="P7" s="18">
        <v>20188182</v>
      </c>
      <c r="U7" t="s">
        <v>115</v>
      </c>
      <c r="X7" s="10" t="s">
        <v>38</v>
      </c>
      <c r="Y7" s="13">
        <v>0.14844104904099834</v>
      </c>
      <c r="AG7" s="10" t="s">
        <v>91</v>
      </c>
      <c r="AH7" s="13">
        <v>8.2692284478049063E-2</v>
      </c>
      <c r="AP7" s="10" t="s">
        <v>2</v>
      </c>
      <c r="AQ7" s="12">
        <v>6420603</v>
      </c>
      <c r="AW7" s="9" t="s">
        <v>85</v>
      </c>
      <c r="AX7" t="s">
        <v>18</v>
      </c>
      <c r="AY7" t="s">
        <v>14</v>
      </c>
      <c r="AZ7" t="s">
        <v>20</v>
      </c>
      <c r="BA7" t="s">
        <v>9</v>
      </c>
      <c r="BB7" t="s">
        <v>6</v>
      </c>
      <c r="BC7" t="s">
        <v>16</v>
      </c>
      <c r="BD7" t="s">
        <v>10</v>
      </c>
      <c r="BE7" t="s">
        <v>2</v>
      </c>
      <c r="BF7" t="s">
        <v>12</v>
      </c>
      <c r="BG7" t="s">
        <v>17</v>
      </c>
      <c r="BH7" t="s">
        <v>93</v>
      </c>
      <c r="CO7" s="9" t="s">
        <v>85</v>
      </c>
      <c r="CP7" t="s">
        <v>101</v>
      </c>
      <c r="CQ7" t="s">
        <v>100</v>
      </c>
      <c r="CR7" t="s">
        <v>104</v>
      </c>
      <c r="CS7" t="s">
        <v>98</v>
      </c>
      <c r="CT7" t="s">
        <v>97</v>
      </c>
      <c r="CU7" t="s">
        <v>103</v>
      </c>
      <c r="CV7" t="s">
        <v>102</v>
      </c>
      <c r="CW7" t="s">
        <v>99</v>
      </c>
      <c r="CX7" t="s">
        <v>107</v>
      </c>
      <c r="CY7" t="s">
        <v>106</v>
      </c>
      <c r="CZ7" t="s">
        <v>105</v>
      </c>
      <c r="DA7" t="s">
        <v>93</v>
      </c>
    </row>
    <row r="8" spans="1:117" x14ac:dyDescent="0.25">
      <c r="A8" s="10" t="s">
        <v>90</v>
      </c>
      <c r="B8">
        <v>4686</v>
      </c>
      <c r="H8" s="10" t="s">
        <v>20</v>
      </c>
      <c r="I8" s="12">
        <v>9836946</v>
      </c>
      <c r="O8" s="10" t="s">
        <v>106</v>
      </c>
      <c r="P8" s="18">
        <v>19977657</v>
      </c>
      <c r="U8">
        <v>6</v>
      </c>
      <c r="V8">
        <v>6</v>
      </c>
      <c r="X8" s="10" t="s">
        <v>111</v>
      </c>
      <c r="Y8" s="13">
        <v>0.10658202644795327</v>
      </c>
      <c r="AG8" s="10" t="s">
        <v>3</v>
      </c>
      <c r="AH8" s="13">
        <v>0.10039650985486549</v>
      </c>
      <c r="AP8" s="10" t="s">
        <v>18</v>
      </c>
      <c r="AQ8" s="12">
        <v>6449373</v>
      </c>
      <c r="AW8" s="10" t="s">
        <v>40</v>
      </c>
      <c r="AX8" s="12">
        <v>428326.5</v>
      </c>
      <c r="AY8" s="12">
        <v>44905</v>
      </c>
      <c r="AZ8" s="12">
        <v>570276</v>
      </c>
      <c r="BA8" s="12">
        <v>1132645.5</v>
      </c>
      <c r="BB8" s="12"/>
      <c r="BC8" s="12">
        <v>443464</v>
      </c>
      <c r="BD8" s="12">
        <v>1022245</v>
      </c>
      <c r="BE8" s="12">
        <v>198460.5</v>
      </c>
      <c r="BF8" s="12">
        <v>175707</v>
      </c>
      <c r="BG8" s="12">
        <v>652596</v>
      </c>
      <c r="BH8" s="12">
        <v>490035</v>
      </c>
      <c r="CO8" s="10" t="s">
        <v>26</v>
      </c>
      <c r="CP8">
        <v>1</v>
      </c>
      <c r="CR8">
        <v>3</v>
      </c>
      <c r="CS8">
        <v>4</v>
      </c>
      <c r="CT8">
        <v>20</v>
      </c>
      <c r="CU8">
        <v>24</v>
      </c>
      <c r="CX8">
        <v>9</v>
      </c>
      <c r="CY8">
        <v>10</v>
      </c>
      <c r="DA8">
        <v>71</v>
      </c>
    </row>
    <row r="9" spans="1:117" x14ac:dyDescent="0.25">
      <c r="A9" s="10" t="s">
        <v>87</v>
      </c>
      <c r="B9">
        <v>4704</v>
      </c>
      <c r="H9" s="10" t="s">
        <v>24</v>
      </c>
      <c r="I9" s="12">
        <v>11980836</v>
      </c>
      <c r="O9" s="10" t="s">
        <v>97</v>
      </c>
      <c r="P9" s="18">
        <v>19416075</v>
      </c>
      <c r="U9" t="s">
        <v>79</v>
      </c>
      <c r="X9" s="10" t="s">
        <v>112</v>
      </c>
      <c r="Y9" s="13">
        <v>0.22972469230531931</v>
      </c>
      <c r="AG9" s="10" t="s">
        <v>88</v>
      </c>
      <c r="AH9" s="13">
        <v>0.10611320159809019</v>
      </c>
      <c r="AP9" s="10" t="s">
        <v>12</v>
      </c>
      <c r="AQ9" s="12">
        <v>6681948</v>
      </c>
      <c r="AW9" s="10" t="s">
        <v>45</v>
      </c>
      <c r="AX9" s="12">
        <v>576576</v>
      </c>
      <c r="AY9" s="12">
        <v>129276</v>
      </c>
      <c r="AZ9" s="12">
        <v>524181</v>
      </c>
      <c r="BA9" s="12">
        <v>439897.5</v>
      </c>
      <c r="BB9" s="12">
        <v>328440</v>
      </c>
      <c r="BC9" s="12">
        <v>157794</v>
      </c>
      <c r="BD9" s="12">
        <v>481467</v>
      </c>
      <c r="BE9" s="12">
        <v>229691</v>
      </c>
      <c r="BF9" s="12">
        <v>389662</v>
      </c>
      <c r="BG9" s="12">
        <v>198513</v>
      </c>
      <c r="BH9" s="12">
        <v>371466.9</v>
      </c>
      <c r="CO9" s="10" t="s">
        <v>7</v>
      </c>
      <c r="CP9">
        <v>2</v>
      </c>
      <c r="CQ9">
        <v>4</v>
      </c>
      <c r="CR9">
        <v>3</v>
      </c>
      <c r="CS9">
        <v>4</v>
      </c>
      <c r="CT9">
        <v>5</v>
      </c>
      <c r="CV9">
        <v>21</v>
      </c>
      <c r="CW9">
        <v>8</v>
      </c>
      <c r="DA9">
        <v>47</v>
      </c>
      <c r="DK9" s="9" t="s">
        <v>85</v>
      </c>
      <c r="DL9" t="s">
        <v>96</v>
      </c>
    </row>
    <row r="10" spans="1:117" x14ac:dyDescent="0.25">
      <c r="A10" s="10" t="s">
        <v>34</v>
      </c>
      <c r="B10">
        <v>5007</v>
      </c>
      <c r="H10" s="10" t="s">
        <v>23</v>
      </c>
      <c r="I10" s="12">
        <v>13848513</v>
      </c>
      <c r="O10" s="10" t="s">
        <v>102</v>
      </c>
      <c r="P10" s="18">
        <v>17877531</v>
      </c>
      <c r="U10" s="12">
        <v>203538699</v>
      </c>
      <c r="V10" s="12">
        <v>203538699</v>
      </c>
      <c r="X10" s="10" t="s">
        <v>93</v>
      </c>
      <c r="Y10" s="13">
        <v>1</v>
      </c>
      <c r="AG10" s="10" t="s">
        <v>34</v>
      </c>
      <c r="AH10" s="13">
        <v>0.10614126505741299</v>
      </c>
      <c r="AP10" s="10" t="s">
        <v>6</v>
      </c>
      <c r="AQ10" s="12">
        <v>6986238</v>
      </c>
      <c r="AW10" s="10" t="s">
        <v>37</v>
      </c>
      <c r="AX10" s="12">
        <v>250842.375</v>
      </c>
      <c r="AY10" s="12">
        <v>382683</v>
      </c>
      <c r="AZ10" s="12">
        <v>231336</v>
      </c>
      <c r="BA10" s="12">
        <v>161574</v>
      </c>
      <c r="BB10" s="12">
        <v>464247</v>
      </c>
      <c r="BC10" s="12">
        <v>536917.5</v>
      </c>
      <c r="BD10" s="12">
        <v>21672</v>
      </c>
      <c r="BE10" s="12">
        <v>682139.5</v>
      </c>
      <c r="BF10" s="12">
        <v>919632</v>
      </c>
      <c r="BG10" s="12">
        <v>139996.5</v>
      </c>
      <c r="BH10" s="12">
        <v>397855.5</v>
      </c>
      <c r="CO10" s="10" t="s">
        <v>6</v>
      </c>
      <c r="CP10">
        <v>2</v>
      </c>
      <c r="CQ10">
        <v>2</v>
      </c>
      <c r="CR10">
        <v>6</v>
      </c>
      <c r="CS10">
        <v>4</v>
      </c>
      <c r="CT10">
        <v>5</v>
      </c>
      <c r="CU10">
        <v>12</v>
      </c>
      <c r="CV10">
        <v>7</v>
      </c>
      <c r="CW10">
        <v>8</v>
      </c>
      <c r="CX10">
        <v>18</v>
      </c>
      <c r="DA10">
        <v>64</v>
      </c>
      <c r="DK10" s="10" t="s">
        <v>14</v>
      </c>
      <c r="DL10">
        <v>4230177</v>
      </c>
    </row>
    <row r="11" spans="1:117" x14ac:dyDescent="0.25">
      <c r="A11" s="10" t="s">
        <v>28</v>
      </c>
      <c r="B11">
        <v>5154</v>
      </c>
      <c r="H11" s="10" t="s">
        <v>13</v>
      </c>
      <c r="I11" s="12">
        <v>14105994</v>
      </c>
      <c r="O11" s="10" t="s">
        <v>100</v>
      </c>
      <c r="P11" s="18">
        <v>15279306</v>
      </c>
      <c r="AG11" s="10" t="s">
        <v>89</v>
      </c>
      <c r="AH11" s="13">
        <v>0.10654343919138444</v>
      </c>
      <c r="AP11" s="10" t="s">
        <v>11</v>
      </c>
      <c r="AQ11" s="12">
        <v>7484757</v>
      </c>
      <c r="AW11" s="10" t="s">
        <v>38</v>
      </c>
      <c r="AX11" s="12">
        <v>179193</v>
      </c>
      <c r="AY11" s="12">
        <v>31311</v>
      </c>
      <c r="AZ11" s="12">
        <v>958534.5</v>
      </c>
      <c r="BA11" s="12">
        <v>400687</v>
      </c>
      <c r="BB11" s="12">
        <v>771741.6</v>
      </c>
      <c r="BC11" s="12">
        <v>518710.5</v>
      </c>
      <c r="BD11" s="12">
        <v>648788</v>
      </c>
      <c r="BE11" s="12">
        <v>608286</v>
      </c>
      <c r="BF11" s="12">
        <v>417886</v>
      </c>
      <c r="BG11" s="12"/>
      <c r="BH11" s="12">
        <v>569829.75</v>
      </c>
      <c r="BR11" s="19"/>
      <c r="CO11" s="10" t="s">
        <v>12</v>
      </c>
      <c r="CP11">
        <v>1</v>
      </c>
      <c r="CQ11">
        <v>4</v>
      </c>
      <c r="CR11">
        <v>9</v>
      </c>
      <c r="CS11">
        <v>12</v>
      </c>
      <c r="CU11">
        <v>6</v>
      </c>
      <c r="CV11">
        <v>7</v>
      </c>
      <c r="CW11">
        <v>8</v>
      </c>
      <c r="CX11">
        <v>9</v>
      </c>
      <c r="CY11">
        <v>10</v>
      </c>
      <c r="DA11">
        <v>66</v>
      </c>
      <c r="DK11" s="10" t="s">
        <v>93</v>
      </c>
      <c r="DL11">
        <v>4230177</v>
      </c>
    </row>
    <row r="12" spans="1:117" x14ac:dyDescent="0.25">
      <c r="A12" s="10" t="s">
        <v>92</v>
      </c>
      <c r="B12">
        <v>5295</v>
      </c>
      <c r="H12" s="10" t="s">
        <v>25</v>
      </c>
      <c r="I12" s="12">
        <v>15386112</v>
      </c>
      <c r="O12" s="10" t="s">
        <v>99</v>
      </c>
      <c r="P12" s="18">
        <v>14735826</v>
      </c>
      <c r="AG12" s="10" t="s">
        <v>28</v>
      </c>
      <c r="AH12" s="13">
        <v>0.10699162914468663</v>
      </c>
      <c r="AP12" s="10" t="s">
        <v>16</v>
      </c>
      <c r="AQ12" s="12">
        <v>8347962</v>
      </c>
      <c r="AW12" s="10" t="s">
        <v>43</v>
      </c>
      <c r="AX12" s="12">
        <v>641298</v>
      </c>
      <c r="AY12" s="12">
        <v>1492522.5</v>
      </c>
      <c r="AZ12" s="12">
        <v>338380</v>
      </c>
      <c r="BA12" s="12">
        <v>119700</v>
      </c>
      <c r="BB12" s="12"/>
      <c r="BC12" s="12">
        <v>22680</v>
      </c>
      <c r="BD12" s="12">
        <v>627522</v>
      </c>
      <c r="BE12" s="12"/>
      <c r="BF12" s="12"/>
      <c r="BG12" s="12">
        <v>631855</v>
      </c>
      <c r="BH12" s="12">
        <v>583548</v>
      </c>
      <c r="CO12" s="10" t="s">
        <v>9</v>
      </c>
      <c r="CP12">
        <v>2</v>
      </c>
      <c r="CQ12">
        <v>6</v>
      </c>
      <c r="CR12">
        <v>3</v>
      </c>
      <c r="CS12">
        <v>4</v>
      </c>
      <c r="CT12">
        <v>5</v>
      </c>
      <c r="CU12">
        <v>12</v>
      </c>
      <c r="CV12">
        <v>21</v>
      </c>
      <c r="CW12">
        <v>8</v>
      </c>
      <c r="CY12">
        <v>10</v>
      </c>
      <c r="DA12">
        <v>71</v>
      </c>
    </row>
    <row r="13" spans="1:117" x14ac:dyDescent="0.25">
      <c r="A13" s="10" t="s">
        <v>88</v>
      </c>
      <c r="B13">
        <v>6294</v>
      </c>
      <c r="H13" s="10" t="s">
        <v>21</v>
      </c>
      <c r="I13" s="12">
        <v>15466773</v>
      </c>
      <c r="O13" s="10" t="s">
        <v>107</v>
      </c>
      <c r="P13" s="18">
        <v>14141106</v>
      </c>
      <c r="AG13" s="10" t="s">
        <v>90</v>
      </c>
      <c r="AH13" s="13">
        <v>0.1118130759006178</v>
      </c>
      <c r="AP13" s="10" t="s">
        <v>7</v>
      </c>
      <c r="AQ13" s="12">
        <v>8874474</v>
      </c>
      <c r="AW13" s="10" t="s">
        <v>39</v>
      </c>
      <c r="AX13" s="12">
        <v>182644</v>
      </c>
      <c r="AY13" s="12">
        <v>184464</v>
      </c>
      <c r="AZ13" s="12">
        <v>444605</v>
      </c>
      <c r="BA13" s="12">
        <v>267582</v>
      </c>
      <c r="BB13" s="12">
        <v>13608</v>
      </c>
      <c r="BC13" s="12">
        <v>526917</v>
      </c>
      <c r="BD13" s="12">
        <v>308937</v>
      </c>
      <c r="BE13" s="12">
        <v>25200</v>
      </c>
      <c r="BF13" s="12">
        <v>703137.75</v>
      </c>
      <c r="BG13" s="12">
        <v>1674918</v>
      </c>
      <c r="BH13" s="12">
        <v>422306.0625</v>
      </c>
      <c r="CO13" s="10" t="s">
        <v>14</v>
      </c>
      <c r="CQ13">
        <v>2</v>
      </c>
      <c r="CR13">
        <v>3</v>
      </c>
      <c r="CS13">
        <v>4</v>
      </c>
      <c r="CT13">
        <v>10</v>
      </c>
      <c r="CU13">
        <v>6</v>
      </c>
      <c r="CW13">
        <v>8</v>
      </c>
      <c r="CX13">
        <v>27</v>
      </c>
      <c r="DA13">
        <v>60</v>
      </c>
      <c r="DK13" s="9" t="s">
        <v>96</v>
      </c>
      <c r="DL13" s="9" t="s">
        <v>118</v>
      </c>
    </row>
    <row r="14" spans="1:117" x14ac:dyDescent="0.25">
      <c r="A14" s="10" t="s">
        <v>93</v>
      </c>
      <c r="B14">
        <v>47964</v>
      </c>
      <c r="H14" s="10" t="s">
        <v>93</v>
      </c>
      <c r="I14" s="12">
        <v>118981632</v>
      </c>
      <c r="O14" s="10" t="s">
        <v>105</v>
      </c>
      <c r="P14" s="18">
        <v>8697192</v>
      </c>
      <c r="AG14" s="10" t="s">
        <v>92</v>
      </c>
      <c r="AH14" s="13">
        <v>0.12095299380880881</v>
      </c>
      <c r="AP14" s="10" t="s">
        <v>93</v>
      </c>
      <c r="AQ14" s="12">
        <v>66355653</v>
      </c>
      <c r="AW14" s="10" t="s">
        <v>93</v>
      </c>
      <c r="AX14" s="12">
        <v>322468.65000000002</v>
      </c>
      <c r="AY14" s="12">
        <v>423017.7</v>
      </c>
      <c r="AZ14" s="12">
        <v>546497</v>
      </c>
      <c r="BA14" s="12">
        <v>398668.2</v>
      </c>
      <c r="BB14" s="12">
        <v>537402.92307692312</v>
      </c>
      <c r="BC14" s="12">
        <v>463775.66666666669</v>
      </c>
      <c r="BD14" s="12">
        <v>525520.0588235294</v>
      </c>
      <c r="BE14" s="12">
        <v>458614.5</v>
      </c>
      <c r="BF14" s="12">
        <v>477282</v>
      </c>
      <c r="BG14" s="12">
        <v>544455.33333333337</v>
      </c>
      <c r="BH14" s="12">
        <v>464643.30405405408</v>
      </c>
      <c r="CO14" s="10" t="s">
        <v>13</v>
      </c>
      <c r="CP14">
        <v>3</v>
      </c>
      <c r="CR14">
        <v>6</v>
      </c>
      <c r="CU14">
        <v>12</v>
      </c>
      <c r="CW14">
        <v>8</v>
      </c>
      <c r="CX14">
        <v>18</v>
      </c>
      <c r="DA14">
        <v>47</v>
      </c>
      <c r="DK14" s="9" t="s">
        <v>85</v>
      </c>
      <c r="DL14" t="s">
        <v>14</v>
      </c>
      <c r="DM14" t="s">
        <v>93</v>
      </c>
    </row>
    <row r="15" spans="1:117" x14ac:dyDescent="0.25">
      <c r="O15" s="10" t="s">
        <v>93</v>
      </c>
      <c r="P15" s="18">
        <v>203538699</v>
      </c>
      <c r="AG15" s="10" t="s">
        <v>93</v>
      </c>
      <c r="AH15" s="13">
        <v>1</v>
      </c>
      <c r="BZ15" s="9" t="s">
        <v>96</v>
      </c>
      <c r="CA15" s="9" t="s">
        <v>118</v>
      </c>
      <c r="CO15" s="10" t="s">
        <v>25</v>
      </c>
      <c r="CP15">
        <v>1</v>
      </c>
      <c r="CQ15">
        <v>6</v>
      </c>
      <c r="CR15">
        <v>3</v>
      </c>
      <c r="CS15">
        <v>4</v>
      </c>
      <c r="CT15">
        <v>10</v>
      </c>
      <c r="CV15">
        <v>7</v>
      </c>
      <c r="CW15">
        <v>16</v>
      </c>
      <c r="CX15">
        <v>9</v>
      </c>
      <c r="DA15">
        <v>56</v>
      </c>
      <c r="DK15" s="10" t="s">
        <v>38</v>
      </c>
      <c r="DL15">
        <v>31311</v>
      </c>
      <c r="DM15">
        <v>31311</v>
      </c>
    </row>
    <row r="16" spans="1:117" x14ac:dyDescent="0.25">
      <c r="BK16" s="9" t="s">
        <v>94</v>
      </c>
      <c r="BL16" s="9" t="s">
        <v>118</v>
      </c>
      <c r="BZ16" s="9" t="s">
        <v>85</v>
      </c>
      <c r="CA16" t="s">
        <v>7</v>
      </c>
      <c r="CB16" t="s">
        <v>17</v>
      </c>
      <c r="CC16" t="s">
        <v>12</v>
      </c>
      <c r="CD16" t="s">
        <v>2</v>
      </c>
      <c r="CE16" t="s">
        <v>11</v>
      </c>
      <c r="CF16" t="s">
        <v>16</v>
      </c>
      <c r="CG16" t="s">
        <v>6</v>
      </c>
      <c r="CH16" t="s">
        <v>9</v>
      </c>
      <c r="CI16" t="s">
        <v>14</v>
      </c>
      <c r="CJ16" t="s">
        <v>18</v>
      </c>
      <c r="CK16" t="s">
        <v>93</v>
      </c>
      <c r="CO16" s="10" t="s">
        <v>17</v>
      </c>
      <c r="CP16">
        <v>1</v>
      </c>
      <c r="CT16">
        <v>5</v>
      </c>
      <c r="CU16">
        <v>12</v>
      </c>
      <c r="CV16">
        <v>7</v>
      </c>
      <c r="CW16">
        <v>16</v>
      </c>
      <c r="CX16">
        <v>9</v>
      </c>
      <c r="CY16">
        <v>10</v>
      </c>
      <c r="DA16">
        <v>60</v>
      </c>
      <c r="DK16" s="10" t="s">
        <v>45</v>
      </c>
      <c r="DL16">
        <v>129276</v>
      </c>
      <c r="DM16">
        <v>129276</v>
      </c>
    </row>
    <row r="17" spans="63:117" x14ac:dyDescent="0.25">
      <c r="BK17" s="9" t="s">
        <v>85</v>
      </c>
      <c r="BL17" t="s">
        <v>14</v>
      </c>
      <c r="BM17" t="s">
        <v>8</v>
      </c>
      <c r="BN17" t="s">
        <v>26</v>
      </c>
      <c r="BO17" t="s">
        <v>6</v>
      </c>
      <c r="BP17" t="s">
        <v>11</v>
      </c>
      <c r="BQ17" t="s">
        <v>2</v>
      </c>
      <c r="BR17" t="s">
        <v>15</v>
      </c>
      <c r="BS17" t="s">
        <v>12</v>
      </c>
      <c r="BT17" t="s">
        <v>17</v>
      </c>
      <c r="BU17" t="s">
        <v>7</v>
      </c>
      <c r="BV17" t="s">
        <v>93</v>
      </c>
      <c r="BZ17" s="10" t="s">
        <v>3</v>
      </c>
      <c r="CA17" s="12"/>
      <c r="CB17" s="12">
        <v>1447740</v>
      </c>
      <c r="CC17" s="12"/>
      <c r="CD17" s="12">
        <v>194586</v>
      </c>
      <c r="CE17" s="12">
        <v>538356</v>
      </c>
      <c r="CF17" s="12">
        <v>988491</v>
      </c>
      <c r="CG17" s="12"/>
      <c r="CH17" s="12">
        <v>494802</v>
      </c>
      <c r="CI17" s="12">
        <v>184464</v>
      </c>
      <c r="CJ17" s="12">
        <v>1538292</v>
      </c>
      <c r="CK17" s="12">
        <v>5386731</v>
      </c>
      <c r="CO17" s="10" t="s">
        <v>11</v>
      </c>
      <c r="CP17">
        <v>1</v>
      </c>
      <c r="CR17">
        <v>6</v>
      </c>
      <c r="CS17">
        <v>8</v>
      </c>
      <c r="CU17">
        <v>6</v>
      </c>
      <c r="CV17">
        <v>14</v>
      </c>
      <c r="CW17">
        <v>24</v>
      </c>
      <c r="DA17">
        <v>59</v>
      </c>
      <c r="DK17" s="10" t="s">
        <v>40</v>
      </c>
      <c r="DL17">
        <v>134715</v>
      </c>
      <c r="DM17">
        <v>134715</v>
      </c>
    </row>
    <row r="18" spans="63:117" x14ac:dyDescent="0.25">
      <c r="BK18" s="10" t="s">
        <v>35</v>
      </c>
      <c r="BL18">
        <v>795</v>
      </c>
      <c r="BM18">
        <v>6</v>
      </c>
      <c r="BN18">
        <v>30</v>
      </c>
      <c r="BO18">
        <v>198</v>
      </c>
      <c r="BP18">
        <v>279</v>
      </c>
      <c r="BQ18">
        <v>504</v>
      </c>
      <c r="BR18">
        <v>165</v>
      </c>
      <c r="BS18">
        <v>204</v>
      </c>
      <c r="BU18">
        <v>621</v>
      </c>
      <c r="BV18">
        <v>2802</v>
      </c>
      <c r="BZ18" s="10" t="s">
        <v>33</v>
      </c>
      <c r="CA18" s="12">
        <v>59892</v>
      </c>
      <c r="CB18" s="12">
        <v>687078</v>
      </c>
      <c r="CC18" s="12">
        <v>1087527</v>
      </c>
      <c r="CD18" s="12">
        <v>24696</v>
      </c>
      <c r="CE18" s="12">
        <v>150423</v>
      </c>
      <c r="CF18" s="12">
        <v>94710</v>
      </c>
      <c r="CG18" s="12">
        <v>775404</v>
      </c>
      <c r="CH18" s="12">
        <v>631176</v>
      </c>
      <c r="CI18" s="12"/>
      <c r="CJ18" s="12">
        <v>1532013</v>
      </c>
      <c r="CK18" s="12">
        <v>5042919</v>
      </c>
      <c r="CO18" s="10" t="s">
        <v>93</v>
      </c>
      <c r="CP18">
        <v>14</v>
      </c>
      <c r="CQ18">
        <v>24</v>
      </c>
      <c r="CR18">
        <v>42</v>
      </c>
      <c r="CS18">
        <v>44</v>
      </c>
      <c r="CT18">
        <v>60</v>
      </c>
      <c r="CU18">
        <v>90</v>
      </c>
      <c r="CV18">
        <v>84</v>
      </c>
      <c r="CW18">
        <v>104</v>
      </c>
      <c r="CX18">
        <v>99</v>
      </c>
      <c r="CY18">
        <v>40</v>
      </c>
      <c r="DA18">
        <v>601</v>
      </c>
      <c r="DF18" s="9" t="s">
        <v>96</v>
      </c>
      <c r="DG18" s="9" t="s">
        <v>118</v>
      </c>
      <c r="DK18" s="10" t="s">
        <v>39</v>
      </c>
      <c r="DL18">
        <v>184464</v>
      </c>
      <c r="DM18">
        <v>184464</v>
      </c>
    </row>
    <row r="19" spans="63:117" x14ac:dyDescent="0.25">
      <c r="BK19" s="10" t="s">
        <v>29</v>
      </c>
      <c r="BL19">
        <v>165</v>
      </c>
      <c r="BM19">
        <v>30</v>
      </c>
      <c r="BN19">
        <v>126</v>
      </c>
      <c r="BO19">
        <v>510</v>
      </c>
      <c r="BP19">
        <v>27</v>
      </c>
      <c r="BR19">
        <v>489</v>
      </c>
      <c r="BS19">
        <v>204</v>
      </c>
      <c r="BV19">
        <v>1551</v>
      </c>
      <c r="BZ19" s="10" t="s">
        <v>34</v>
      </c>
      <c r="CA19" s="12">
        <v>2619309</v>
      </c>
      <c r="CB19" s="12"/>
      <c r="CC19" s="12">
        <v>23058</v>
      </c>
      <c r="CD19" s="12">
        <v>343308</v>
      </c>
      <c r="CE19" s="12"/>
      <c r="CF19" s="12">
        <v>1039143</v>
      </c>
      <c r="CG19" s="12"/>
      <c r="CH19" s="12">
        <v>334656</v>
      </c>
      <c r="CI19" s="12"/>
      <c r="CJ19" s="12">
        <v>971397</v>
      </c>
      <c r="CK19" s="12">
        <v>5330871</v>
      </c>
      <c r="DF19" s="9" t="s">
        <v>85</v>
      </c>
      <c r="DG19" t="s">
        <v>14</v>
      </c>
      <c r="DH19" t="s">
        <v>93</v>
      </c>
      <c r="DK19" s="10" t="s">
        <v>37</v>
      </c>
      <c r="DL19">
        <v>765366</v>
      </c>
      <c r="DM19">
        <v>765366</v>
      </c>
    </row>
    <row r="20" spans="63:117" x14ac:dyDescent="0.25">
      <c r="BK20" s="10" t="s">
        <v>32</v>
      </c>
      <c r="BL20">
        <v>99</v>
      </c>
      <c r="BM20">
        <v>15</v>
      </c>
      <c r="BN20">
        <v>135</v>
      </c>
      <c r="BO20">
        <v>153</v>
      </c>
      <c r="BP20">
        <v>102</v>
      </c>
      <c r="BQ20">
        <v>570</v>
      </c>
      <c r="BT20">
        <v>3</v>
      </c>
      <c r="BV20">
        <v>1077</v>
      </c>
      <c r="BZ20" s="10" t="s">
        <v>32</v>
      </c>
      <c r="CA20" s="12"/>
      <c r="CB20" s="12">
        <v>8967</v>
      </c>
      <c r="CC20" s="12"/>
      <c r="CD20" s="12">
        <v>1757364</v>
      </c>
      <c r="CE20" s="12">
        <v>153510</v>
      </c>
      <c r="CF20" s="12">
        <v>935361</v>
      </c>
      <c r="CG20" s="12">
        <v>414561</v>
      </c>
      <c r="CH20" s="12">
        <v>943173</v>
      </c>
      <c r="CI20" s="12">
        <v>294903</v>
      </c>
      <c r="CJ20" s="12">
        <v>904575</v>
      </c>
      <c r="CK20" s="12">
        <v>5412414</v>
      </c>
      <c r="DF20" s="10" t="s">
        <v>106</v>
      </c>
      <c r="DG20" s="12"/>
      <c r="DH20" s="12"/>
      <c r="DK20" s="10" t="s">
        <v>43</v>
      </c>
      <c r="DL20">
        <v>2985045</v>
      </c>
      <c r="DM20">
        <v>2985045</v>
      </c>
    </row>
    <row r="21" spans="63:117" x14ac:dyDescent="0.25">
      <c r="BK21" s="10" t="s">
        <v>33</v>
      </c>
      <c r="BM21">
        <v>402</v>
      </c>
      <c r="BN21">
        <v>93</v>
      </c>
      <c r="BO21">
        <v>117</v>
      </c>
      <c r="BP21">
        <v>267</v>
      </c>
      <c r="BQ21">
        <v>9</v>
      </c>
      <c r="BR21">
        <v>477</v>
      </c>
      <c r="BS21">
        <v>363</v>
      </c>
      <c r="BT21">
        <v>171</v>
      </c>
      <c r="BU21">
        <v>12</v>
      </c>
      <c r="BV21">
        <v>1911</v>
      </c>
      <c r="BZ21" s="10" t="s">
        <v>28</v>
      </c>
      <c r="CA21" s="12">
        <v>57078</v>
      </c>
      <c r="CB21" s="12"/>
      <c r="CC21" s="12">
        <v>913899</v>
      </c>
      <c r="CD21" s="12">
        <v>10647</v>
      </c>
      <c r="CE21" s="12">
        <v>1596798</v>
      </c>
      <c r="CF21" s="12">
        <v>698481</v>
      </c>
      <c r="CG21" s="12">
        <v>16464</v>
      </c>
      <c r="CH21" s="12">
        <v>475629</v>
      </c>
      <c r="CI21" s="12">
        <v>1629663</v>
      </c>
      <c r="CJ21" s="12">
        <v>824670</v>
      </c>
      <c r="CK21" s="12">
        <v>6223329</v>
      </c>
      <c r="DF21" s="10" t="s">
        <v>105</v>
      </c>
      <c r="DG21" s="12"/>
      <c r="DH21" s="12"/>
      <c r="DK21" s="10" t="s">
        <v>93</v>
      </c>
      <c r="DL21">
        <v>4230177</v>
      </c>
      <c r="DM21">
        <v>4230177</v>
      </c>
    </row>
    <row r="22" spans="63:117" x14ac:dyDescent="0.25">
      <c r="BK22" s="10" t="s">
        <v>3</v>
      </c>
      <c r="BL22">
        <v>27</v>
      </c>
      <c r="BM22">
        <v>243</v>
      </c>
      <c r="BN22">
        <v>87</v>
      </c>
      <c r="BP22">
        <v>204</v>
      </c>
      <c r="BQ22">
        <v>354</v>
      </c>
      <c r="BT22">
        <v>366</v>
      </c>
      <c r="BV22">
        <v>1281</v>
      </c>
      <c r="BZ22" s="10" t="s">
        <v>36</v>
      </c>
      <c r="CA22" s="12"/>
      <c r="CB22" s="12">
        <v>110397</v>
      </c>
      <c r="CC22" s="12">
        <v>812469</v>
      </c>
      <c r="CD22" s="12">
        <v>632562</v>
      </c>
      <c r="CE22" s="12"/>
      <c r="CF22" s="12">
        <v>208425</v>
      </c>
      <c r="CG22" s="12">
        <v>2573214</v>
      </c>
      <c r="CH22" s="12">
        <v>822150</v>
      </c>
      <c r="CI22" s="12"/>
      <c r="CJ22" s="12">
        <v>391860</v>
      </c>
      <c r="CK22" s="12">
        <v>5551077</v>
      </c>
      <c r="DF22" s="10" t="s">
        <v>102</v>
      </c>
      <c r="DG22" s="12"/>
      <c r="DH22" s="12"/>
    </row>
    <row r="23" spans="63:117" x14ac:dyDescent="0.25">
      <c r="BK23" s="10" t="s">
        <v>28</v>
      </c>
      <c r="BL23">
        <v>213</v>
      </c>
      <c r="BM23">
        <v>78</v>
      </c>
      <c r="BN23">
        <v>126</v>
      </c>
      <c r="BO23">
        <v>105</v>
      </c>
      <c r="BP23">
        <v>138</v>
      </c>
      <c r="BQ23">
        <v>3</v>
      </c>
      <c r="BR23">
        <v>141</v>
      </c>
      <c r="BS23">
        <v>153</v>
      </c>
      <c r="BU23">
        <v>54</v>
      </c>
      <c r="BV23">
        <v>1011</v>
      </c>
      <c r="BZ23" s="10" t="s">
        <v>31</v>
      </c>
      <c r="CA23" s="12">
        <v>2585961</v>
      </c>
      <c r="CB23" s="12">
        <v>1993320</v>
      </c>
      <c r="CC23" s="12">
        <v>1961400</v>
      </c>
      <c r="CD23" s="12"/>
      <c r="CE23" s="12">
        <v>948402</v>
      </c>
      <c r="CF23" s="12"/>
      <c r="CG23" s="12"/>
      <c r="CH23" s="12">
        <v>1551816</v>
      </c>
      <c r="CI23" s="12"/>
      <c r="CJ23" s="12">
        <v>150528</v>
      </c>
      <c r="CK23" s="12">
        <v>9191427</v>
      </c>
      <c r="DF23" s="10" t="s">
        <v>101</v>
      </c>
      <c r="DG23" s="12"/>
      <c r="DH23" s="12"/>
    </row>
    <row r="24" spans="63:117" x14ac:dyDescent="0.25">
      <c r="BK24" s="10" t="s">
        <v>34</v>
      </c>
      <c r="BM24">
        <v>276</v>
      </c>
      <c r="BN24">
        <v>306</v>
      </c>
      <c r="BQ24">
        <v>366</v>
      </c>
      <c r="BS24">
        <v>18</v>
      </c>
      <c r="BU24">
        <v>531</v>
      </c>
      <c r="BV24">
        <v>1497</v>
      </c>
      <c r="BZ24" s="10" t="s">
        <v>35</v>
      </c>
      <c r="CA24" s="12">
        <v>3265962</v>
      </c>
      <c r="CB24" s="12"/>
      <c r="CC24" s="12">
        <v>1092420</v>
      </c>
      <c r="CD24" s="12">
        <v>3457440</v>
      </c>
      <c r="CE24" s="12">
        <v>1062432</v>
      </c>
      <c r="CF24" s="12">
        <v>745227</v>
      </c>
      <c r="CG24" s="12">
        <v>78624</v>
      </c>
      <c r="CH24" s="12"/>
      <c r="CI24" s="12">
        <v>1555218</v>
      </c>
      <c r="CJ24" s="12">
        <v>132804</v>
      </c>
      <c r="CK24" s="12">
        <v>11390127</v>
      </c>
      <c r="DF24" s="10" t="s">
        <v>98</v>
      </c>
      <c r="DG24" s="12">
        <v>26397</v>
      </c>
      <c r="DH24" s="12">
        <v>26397</v>
      </c>
    </row>
    <row r="25" spans="63:117" x14ac:dyDescent="0.25">
      <c r="BK25" s="10" t="s">
        <v>36</v>
      </c>
      <c r="BM25">
        <v>42</v>
      </c>
      <c r="BN25">
        <v>681</v>
      </c>
      <c r="BO25">
        <v>498</v>
      </c>
      <c r="BQ25">
        <v>138</v>
      </c>
      <c r="BR25">
        <v>384</v>
      </c>
      <c r="BS25">
        <v>183</v>
      </c>
      <c r="BT25">
        <v>99</v>
      </c>
      <c r="BV25">
        <v>2025</v>
      </c>
      <c r="BZ25" s="10" t="s">
        <v>30</v>
      </c>
      <c r="CA25" s="12">
        <v>286272</v>
      </c>
      <c r="CB25" s="12">
        <v>652596</v>
      </c>
      <c r="CC25" s="12">
        <v>429891</v>
      </c>
      <c r="CD25" s="12"/>
      <c r="CE25" s="12">
        <v>2774016</v>
      </c>
      <c r="CF25" s="12">
        <v>2487240</v>
      </c>
      <c r="CG25" s="12">
        <v>2710281</v>
      </c>
      <c r="CH25" s="12">
        <v>286650</v>
      </c>
      <c r="CI25" s="12">
        <v>26397</v>
      </c>
      <c r="CJ25" s="12">
        <v>3234</v>
      </c>
      <c r="CK25" s="12">
        <v>9656577</v>
      </c>
      <c r="DF25" s="10" t="s">
        <v>100</v>
      </c>
      <c r="DG25" s="12">
        <v>31311</v>
      </c>
      <c r="DH25" s="12">
        <v>31311</v>
      </c>
    </row>
    <row r="26" spans="63:117" x14ac:dyDescent="0.25">
      <c r="BK26" s="10" t="s">
        <v>30</v>
      </c>
      <c r="BL26">
        <v>9</v>
      </c>
      <c r="BM26">
        <v>417</v>
      </c>
      <c r="BN26">
        <v>174</v>
      </c>
      <c r="BO26">
        <v>300</v>
      </c>
      <c r="BP26">
        <v>288</v>
      </c>
      <c r="BR26">
        <v>147</v>
      </c>
      <c r="BS26">
        <v>291</v>
      </c>
      <c r="BT26">
        <v>102</v>
      </c>
      <c r="BU26">
        <v>72</v>
      </c>
      <c r="BV26">
        <v>1800</v>
      </c>
      <c r="BZ26" s="10" t="s">
        <v>29</v>
      </c>
      <c r="CA26" s="12"/>
      <c r="CB26" s="12"/>
      <c r="CC26" s="12">
        <v>361284</v>
      </c>
      <c r="CD26" s="12"/>
      <c r="CE26" s="12">
        <v>260820</v>
      </c>
      <c r="CF26" s="12">
        <v>1150884</v>
      </c>
      <c r="CG26" s="12">
        <v>417690</v>
      </c>
      <c r="CH26" s="12">
        <v>439971</v>
      </c>
      <c r="CI26" s="12">
        <v>539532</v>
      </c>
      <c r="CJ26" s="12"/>
      <c r="CK26" s="12">
        <v>3170181</v>
      </c>
      <c r="DF26" s="10" t="s">
        <v>104</v>
      </c>
      <c r="DG26" s="12">
        <v>129276</v>
      </c>
      <c r="DH26" s="12">
        <v>129276</v>
      </c>
    </row>
    <row r="27" spans="63:117" x14ac:dyDescent="0.25">
      <c r="BK27" s="10" t="s">
        <v>31</v>
      </c>
      <c r="BM27">
        <v>24</v>
      </c>
      <c r="BN27">
        <v>96</v>
      </c>
      <c r="BP27">
        <v>447</v>
      </c>
      <c r="BR27">
        <v>249</v>
      </c>
      <c r="BS27">
        <v>540</v>
      </c>
      <c r="BT27">
        <v>303</v>
      </c>
      <c r="BU27">
        <v>732</v>
      </c>
      <c r="BV27">
        <v>2391</v>
      </c>
      <c r="BZ27" s="10" t="s">
        <v>93</v>
      </c>
      <c r="CA27" s="12">
        <v>8874474</v>
      </c>
      <c r="CB27" s="12">
        <v>4900098</v>
      </c>
      <c r="CC27" s="12">
        <v>6681948</v>
      </c>
      <c r="CD27" s="12">
        <v>6420603</v>
      </c>
      <c r="CE27" s="12">
        <v>7484757</v>
      </c>
      <c r="CF27" s="12">
        <v>8347962</v>
      </c>
      <c r="CG27" s="12">
        <v>6986238</v>
      </c>
      <c r="CH27" s="12">
        <v>5980023</v>
      </c>
      <c r="CI27" s="12">
        <v>4230177</v>
      </c>
      <c r="CJ27" s="12">
        <v>6449373</v>
      </c>
      <c r="CK27" s="12">
        <v>66355653</v>
      </c>
      <c r="DF27" s="10" t="s">
        <v>97</v>
      </c>
      <c r="DG27" s="12">
        <v>448056</v>
      </c>
      <c r="DH27" s="12">
        <v>448056</v>
      </c>
    </row>
    <row r="28" spans="63:117" x14ac:dyDescent="0.25">
      <c r="BK28" s="10" t="s">
        <v>93</v>
      </c>
      <c r="BL28">
        <v>1308</v>
      </c>
      <c r="BM28">
        <v>1533</v>
      </c>
      <c r="BN28">
        <v>1854</v>
      </c>
      <c r="BO28">
        <v>1881</v>
      </c>
      <c r="BP28">
        <v>1752</v>
      </c>
      <c r="BQ28">
        <v>1944</v>
      </c>
      <c r="BR28">
        <v>2052</v>
      </c>
      <c r="BS28">
        <v>1956</v>
      </c>
      <c r="BT28">
        <v>1044</v>
      </c>
      <c r="BU28">
        <v>2022</v>
      </c>
      <c r="BV28">
        <v>17346</v>
      </c>
      <c r="DF28" s="10" t="s">
        <v>107</v>
      </c>
      <c r="DG28" s="12">
        <v>610092</v>
      </c>
      <c r="DH28" s="12">
        <v>610092</v>
      </c>
    </row>
    <row r="29" spans="63:117" x14ac:dyDescent="0.25">
      <c r="DF29" s="10" t="s">
        <v>99</v>
      </c>
      <c r="DG29" s="12">
        <v>1355382</v>
      </c>
      <c r="DH29" s="12">
        <v>1355382</v>
      </c>
    </row>
    <row r="30" spans="63:117" x14ac:dyDescent="0.25">
      <c r="DF30" s="10" t="s">
        <v>103</v>
      </c>
      <c r="DG30" s="12">
        <v>1629663</v>
      </c>
      <c r="DH30" s="12">
        <v>1629663</v>
      </c>
    </row>
    <row r="31" spans="63:117" x14ac:dyDescent="0.25">
      <c r="DF31" s="10" t="s">
        <v>93</v>
      </c>
      <c r="DG31" s="12">
        <v>4230177</v>
      </c>
      <c r="DH31" s="12">
        <v>4230177</v>
      </c>
    </row>
  </sheetData>
  <pageMargins left="0.7" right="0.7" top="0.75" bottom="0.75" header="0.3" footer="0.3"/>
  <drawing r:id="rId18"/>
  <extLst>
    <ext xmlns:x14="http://schemas.microsoft.com/office/spreadsheetml/2009/9/main" uri="{A8765BA9-456A-4dab-B4F3-ACF838C121DE}">
      <x14:slicerList>
        <x14:slicer r:id="rId1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30C64-20B8-4107-9892-FF94BE396D62}">
  <dimension ref="Q70:BU112"/>
  <sheetViews>
    <sheetView showGridLines="0" zoomScale="10" zoomScaleNormal="10" workbookViewId="0">
      <selection activeCell="BE66" sqref="BE66"/>
    </sheetView>
  </sheetViews>
  <sheetFormatPr defaultRowHeight="15" x14ac:dyDescent="0.25"/>
  <cols>
    <col min="67" max="67" width="9.140625" customWidth="1"/>
    <col min="73" max="73" width="9.140625" style="11"/>
  </cols>
  <sheetData>
    <row r="70" spans="17:17" x14ac:dyDescent="0.25">
      <c r="Q70" t="s">
        <v>116</v>
      </c>
    </row>
    <row r="112" s="11"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17128-1DB4-4F0B-8CB7-8FD05F5F976B}">
  <dimension ref="U11"/>
  <sheetViews>
    <sheetView showGridLines="0" zoomScale="70" zoomScaleNormal="70" workbookViewId="0">
      <selection activeCell="I32" sqref="I31:J32"/>
    </sheetView>
  </sheetViews>
  <sheetFormatPr defaultRowHeight="15" x14ac:dyDescent="0.25"/>
  <sheetData>
    <row r="11" spans="21:21" x14ac:dyDescent="0.25">
      <c r="U11" t="s">
        <v>120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AA8C6E-0490-4966-A79A-7A9D4CE084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Raw-data </vt:lpstr>
      <vt:lpstr>Meta-data </vt:lpstr>
      <vt:lpstr>Solve Questions</vt:lpstr>
      <vt:lpstr>cleaning</vt:lpstr>
      <vt:lpstr>Pivot Tables</vt:lpstr>
      <vt:lpstr>DashBoard</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Rwan Shehab</cp:lastModifiedBy>
  <dcterms:created xsi:type="dcterms:W3CDTF">2021-03-14T20:21:32Z</dcterms:created>
  <dcterms:modified xsi:type="dcterms:W3CDTF">2026-02-04T05:29:52Z</dcterms:modified>
</cp:coreProperties>
</file>